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s" sheetId="1" state="visible" r:id="rId3"/>
    <sheet name="catégorie-cycles" sheetId="2" state="visible" r:id="rId4"/>
    <sheet name="cycles-niveaux" sheetId="3" state="visible" r:id="rId5"/>
    <sheet name="niveaux-spécialités" sheetId="4" state="visible" r:id="rId6"/>
    <sheet name="niveaux-années" sheetId="5" state="visible" r:id="rId7"/>
    <sheet name="spécialités-matières" sheetId="6" state="visible" r:id="rId8"/>
    <sheet name="niveaux-matièr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5" authorId="0">
      <text>
        <r>
          <rPr>
            <sz val="10"/>
            <rFont val="Arial"/>
            <family val="2"/>
          </rPr>
          <t xml:space="preserve">Coche bac+3 retirée : le BTSA se prépare en 2 ans (bac+1, bac+2).</t>
        </r>
      </text>
    </comment>
  </commentList>
</comments>
</file>

<file path=xl/sharedStrings.xml><?xml version="1.0" encoding="utf-8"?>
<sst xmlns="http://schemas.openxmlformats.org/spreadsheetml/2006/main" count="750" uniqueCount="731">
  <si>
    <t xml:space="preserve">id</t>
  </si>
  <si>
    <t xml:space="preserve">catégories</t>
  </si>
  <si>
    <t xml:space="preserve">cycles</t>
  </si>
  <si>
    <t xml:space="preserve">niveaux</t>
  </si>
  <si>
    <t xml:space="preserve">années</t>
  </si>
  <si>
    <t xml:space="preserve">spécialités</t>
  </si>
  <si>
    <t xml:space="preserve">matières</t>
  </si>
  <si>
    <t xml:space="preserve">CAT001</t>
  </si>
  <si>
    <t xml:space="preserve">école &amp; études</t>
  </si>
  <si>
    <t xml:space="preserve">EEE001</t>
  </si>
  <si>
    <t xml:space="preserve">primaire</t>
  </si>
  <si>
    <t xml:space="preserve">NIV001</t>
  </si>
  <si>
    <t xml:space="preserve">CP</t>
  </si>
  <si>
    <t xml:space="preserve">ANN001</t>
  </si>
  <si>
    <t xml:space="preserve">bac+1</t>
  </si>
  <si>
    <t xml:space="preserve">SPE001</t>
  </si>
  <si>
    <t xml:space="preserve">Chartes</t>
  </si>
  <si>
    <t xml:space="preserve">MAT001</t>
  </si>
  <si>
    <t xml:space="preserve">français</t>
  </si>
  <si>
    <t xml:space="preserve">CAT002</t>
  </si>
  <si>
    <t xml:space="preserve">langues</t>
  </si>
  <si>
    <t xml:space="preserve">EEE002</t>
  </si>
  <si>
    <t xml:space="preserve">collège</t>
  </si>
  <si>
    <t xml:space="preserve">NIV002</t>
  </si>
  <si>
    <t xml:space="preserve">CE1</t>
  </si>
  <si>
    <t xml:space="preserve">ANN002</t>
  </si>
  <si>
    <t xml:space="preserve">bac+2</t>
  </si>
  <si>
    <t xml:space="preserve">SPE002</t>
  </si>
  <si>
    <t xml:space="preserve">lettres</t>
  </si>
  <si>
    <t xml:space="preserve">MAT002</t>
  </si>
  <si>
    <t xml:space="preserve">mathématiques</t>
  </si>
  <si>
    <t xml:space="preserve">CAT003</t>
  </si>
  <si>
    <t xml:space="preserve">professionnel</t>
  </si>
  <si>
    <t xml:space="preserve">EEE003</t>
  </si>
  <si>
    <t xml:space="preserve">lycée</t>
  </si>
  <si>
    <t xml:space="preserve">NIV003</t>
  </si>
  <si>
    <t xml:space="preserve">CE2</t>
  </si>
  <si>
    <t xml:space="preserve">ANN003</t>
  </si>
  <si>
    <t xml:space="preserve">bac+3</t>
  </si>
  <si>
    <t xml:space="preserve">SPE003</t>
  </si>
  <si>
    <t xml:space="preserve">lettres et sciences sociales</t>
  </si>
  <si>
    <t xml:space="preserve">MAT003</t>
  </si>
  <si>
    <t xml:space="preserve">questionner le monde</t>
  </si>
  <si>
    <t xml:space="preserve">CAT004</t>
  </si>
  <si>
    <t xml:space="preserve">culture générale</t>
  </si>
  <si>
    <t xml:space="preserve">EEE004</t>
  </si>
  <si>
    <t xml:space="preserve">études supérieures</t>
  </si>
  <si>
    <t xml:space="preserve">NIV004</t>
  </si>
  <si>
    <t xml:space="preserve">CM1</t>
  </si>
  <si>
    <t xml:space="preserve">ANN004</t>
  </si>
  <si>
    <t xml:space="preserve">bac+4</t>
  </si>
  <si>
    <t xml:space="preserve">SPE004</t>
  </si>
  <si>
    <t xml:space="preserve">Saint-Cyr lettres</t>
  </si>
  <si>
    <t xml:space="preserve">MAT004</t>
  </si>
  <si>
    <t xml:space="preserve">anglais</t>
  </si>
  <si>
    <t xml:space="preserve">CAT005</t>
  </si>
  <si>
    <t xml:space="preserve">personnel</t>
  </si>
  <si>
    <t xml:space="preserve">NIV005</t>
  </si>
  <si>
    <t xml:space="preserve">CM2</t>
  </si>
  <si>
    <t xml:space="preserve">ANN005</t>
  </si>
  <si>
    <t xml:space="preserve">bac+5</t>
  </si>
  <si>
    <t xml:space="preserve">SPE005</t>
  </si>
  <si>
    <t xml:space="preserve">arts et design</t>
  </si>
  <si>
    <t xml:space="preserve">MAT005</t>
  </si>
  <si>
    <t xml:space="preserve">éducation artistique</t>
  </si>
  <si>
    <t xml:space="preserve">NIV006</t>
  </si>
  <si>
    <t xml:space="preserve">6ème</t>
  </si>
  <si>
    <t xml:space="preserve">ANN006</t>
  </si>
  <si>
    <t xml:space="preserve">bac+6</t>
  </si>
  <si>
    <t xml:space="preserve">SPE006</t>
  </si>
  <si>
    <t xml:space="preserve">BCPST</t>
  </si>
  <si>
    <t xml:space="preserve">MAT006</t>
  </si>
  <si>
    <t xml:space="preserve">éducation physique</t>
  </si>
  <si>
    <t xml:space="preserve">NIV007</t>
  </si>
  <si>
    <t xml:space="preserve">5ème</t>
  </si>
  <si>
    <t xml:space="preserve">ANN007</t>
  </si>
  <si>
    <t xml:space="preserve">bac+7</t>
  </si>
  <si>
    <t xml:space="preserve">SPE007</t>
  </si>
  <si>
    <t xml:space="preserve">MP2I</t>
  </si>
  <si>
    <t xml:space="preserve">MAT007</t>
  </si>
  <si>
    <t xml:space="preserve">histoire</t>
  </si>
  <si>
    <t xml:space="preserve">NIV008</t>
  </si>
  <si>
    <t xml:space="preserve">4ème</t>
  </si>
  <si>
    <t xml:space="preserve">ANN008</t>
  </si>
  <si>
    <t xml:space="preserve">bac+8</t>
  </si>
  <si>
    <t xml:space="preserve">SPE008</t>
  </si>
  <si>
    <t xml:space="preserve">MPSI</t>
  </si>
  <si>
    <t xml:space="preserve">MAT008</t>
  </si>
  <si>
    <t xml:space="preserve">géographie</t>
  </si>
  <si>
    <t xml:space="preserve">NIV009</t>
  </si>
  <si>
    <t xml:space="preserve">3ème</t>
  </si>
  <si>
    <t xml:space="preserve">ANN009</t>
  </si>
  <si>
    <t xml:space="preserve">bac+9</t>
  </si>
  <si>
    <t xml:space="preserve">SPE009</t>
  </si>
  <si>
    <t xml:space="preserve">PCSI</t>
  </si>
  <si>
    <t xml:space="preserve">MAT009</t>
  </si>
  <si>
    <t xml:space="preserve">sciences</t>
  </si>
  <si>
    <t xml:space="preserve">NIV010</t>
  </si>
  <si>
    <t xml:space="preserve">2nde</t>
  </si>
  <si>
    <t xml:space="preserve">ANN010</t>
  </si>
  <si>
    <t xml:space="preserve">bac+10</t>
  </si>
  <si>
    <t xml:space="preserve">SPE010</t>
  </si>
  <si>
    <t xml:space="preserve">PTSI</t>
  </si>
  <si>
    <t xml:space="preserve">MAT010</t>
  </si>
  <si>
    <t xml:space="preserve">EMC</t>
  </si>
  <si>
    <t xml:space="preserve">NIV011</t>
  </si>
  <si>
    <t xml:space="preserve">1ère</t>
  </si>
  <si>
    <t xml:space="preserve">ANN011</t>
  </si>
  <si>
    <t xml:space="preserve">bac+11</t>
  </si>
  <si>
    <t xml:space="preserve">SPE011</t>
  </si>
  <si>
    <t xml:space="preserve">architecture</t>
  </si>
  <si>
    <t xml:space="preserve">MAT011</t>
  </si>
  <si>
    <t xml:space="preserve">SVT</t>
  </si>
  <si>
    <t xml:space="preserve">NIV012</t>
  </si>
  <si>
    <t xml:space="preserve">terminale</t>
  </si>
  <si>
    <t xml:space="preserve">ANN012</t>
  </si>
  <si>
    <t xml:space="preserve">bac+12</t>
  </si>
  <si>
    <t xml:space="preserve">SPE012</t>
  </si>
  <si>
    <t xml:space="preserve">arts</t>
  </si>
  <si>
    <t xml:space="preserve">MAT012</t>
  </si>
  <si>
    <t xml:space="preserve">physique</t>
  </si>
  <si>
    <t xml:space="preserve">NIV013</t>
  </si>
  <si>
    <t xml:space="preserve">BTS</t>
  </si>
  <si>
    <t xml:space="preserve">SPE013</t>
  </si>
  <si>
    <t xml:space="preserve">audiovisuel</t>
  </si>
  <si>
    <t xml:space="preserve">MAT013</t>
  </si>
  <si>
    <t xml:space="preserve">chimie</t>
  </si>
  <si>
    <t xml:space="preserve">NIV014</t>
  </si>
  <si>
    <t xml:space="preserve">BTSA</t>
  </si>
  <si>
    <t xml:space="preserve">SPE014</t>
  </si>
  <si>
    <t xml:space="preserve">musique et danse</t>
  </si>
  <si>
    <t xml:space="preserve">MAT014</t>
  </si>
  <si>
    <t xml:space="preserve">technologie</t>
  </si>
  <si>
    <t xml:space="preserve">NIV015</t>
  </si>
  <si>
    <t xml:space="preserve">BUT</t>
  </si>
  <si>
    <t xml:space="preserve">SPE015</t>
  </si>
  <si>
    <t xml:space="preserve">comédie et théatre</t>
  </si>
  <si>
    <t xml:space="preserve">MAT015</t>
  </si>
  <si>
    <t xml:space="preserve">arts plastiques</t>
  </si>
  <si>
    <t xml:space="preserve">NIV016</t>
  </si>
  <si>
    <t xml:space="preserve">CPGE</t>
  </si>
  <si>
    <t xml:space="preserve">SPE016</t>
  </si>
  <si>
    <t xml:space="preserve">cirque et mime</t>
  </si>
  <si>
    <t xml:space="preserve">MAT016</t>
  </si>
  <si>
    <t xml:space="preserve">éducation musicale</t>
  </si>
  <si>
    <t xml:space="preserve">NIV017</t>
  </si>
  <si>
    <t xml:space="preserve">école d'ingénieurs</t>
  </si>
  <si>
    <t xml:space="preserve">SPE017</t>
  </si>
  <si>
    <t xml:space="preserve">MAT017</t>
  </si>
  <si>
    <t xml:space="preserve">EPS</t>
  </si>
  <si>
    <t xml:space="preserve">NIV018</t>
  </si>
  <si>
    <t xml:space="preserve">école de commerce</t>
  </si>
  <si>
    <t xml:space="preserve">SPE018</t>
  </si>
  <si>
    <t xml:space="preserve">MAT018</t>
  </si>
  <si>
    <t xml:space="preserve">SES</t>
  </si>
  <si>
    <t xml:space="preserve">NIV019</t>
  </si>
  <si>
    <t xml:space="preserve">licence</t>
  </si>
  <si>
    <t xml:space="preserve">SPE019</t>
  </si>
  <si>
    <t xml:space="preserve">MAT019</t>
  </si>
  <si>
    <t xml:space="preserve">SNT</t>
  </si>
  <si>
    <t xml:space="preserve">NIV020</t>
  </si>
  <si>
    <t xml:space="preserve">master</t>
  </si>
  <si>
    <t xml:space="preserve">SPE020</t>
  </si>
  <si>
    <t xml:space="preserve">MAT020</t>
  </si>
  <si>
    <t xml:space="preserve">NSI</t>
  </si>
  <si>
    <t xml:space="preserve">NIV021</t>
  </si>
  <si>
    <t xml:space="preserve">DE (diplôme d'état)</t>
  </si>
  <si>
    <t xml:space="preserve">SPE021</t>
  </si>
  <si>
    <t xml:space="preserve">2nde générale et technologique</t>
  </si>
  <si>
    <t xml:space="preserve">MAT021</t>
  </si>
  <si>
    <t xml:space="preserve">sciences de l'ingénieur</t>
  </si>
  <si>
    <t xml:space="preserve">NIV022</t>
  </si>
  <si>
    <t xml:space="preserve">DN MADE</t>
  </si>
  <si>
    <t xml:space="preserve">SPE022</t>
  </si>
  <si>
    <t xml:space="preserve">voie générale</t>
  </si>
  <si>
    <t xml:space="preserve">MAT022</t>
  </si>
  <si>
    <t xml:space="preserve">HGGSP</t>
  </si>
  <si>
    <t xml:space="preserve">NIV023</t>
  </si>
  <si>
    <t xml:space="preserve">DNA</t>
  </si>
  <si>
    <t xml:space="preserve">SPE023</t>
  </si>
  <si>
    <t xml:space="preserve">STMG</t>
  </si>
  <si>
    <t xml:space="preserve">MAT023</t>
  </si>
  <si>
    <t xml:space="preserve">HLP</t>
  </si>
  <si>
    <t xml:space="preserve">NIV024</t>
  </si>
  <si>
    <t xml:space="preserve">non diplomant</t>
  </si>
  <si>
    <t xml:space="preserve">SPE024</t>
  </si>
  <si>
    <t xml:space="preserve">STI2D</t>
  </si>
  <si>
    <t xml:space="preserve">MAT024</t>
  </si>
  <si>
    <t xml:space="preserve">LLCER</t>
  </si>
  <si>
    <t xml:space="preserve">NIV025</t>
  </si>
  <si>
    <t xml:space="preserve">DNSP</t>
  </si>
  <si>
    <t xml:space="preserve">SPE025</t>
  </si>
  <si>
    <t xml:space="preserve">STL</t>
  </si>
  <si>
    <t xml:space="preserve">MAT025</t>
  </si>
  <si>
    <t xml:space="preserve">LLCA</t>
  </si>
  <si>
    <t xml:space="preserve">NIV026</t>
  </si>
  <si>
    <t xml:space="preserve">doctorat</t>
  </si>
  <si>
    <t xml:space="preserve">SPE026</t>
  </si>
  <si>
    <t xml:space="preserve">ST2S</t>
  </si>
  <si>
    <t xml:space="preserve">MAT026</t>
  </si>
  <si>
    <t xml:space="preserve">Arts</t>
  </si>
  <si>
    <t xml:space="preserve">NIV027</t>
  </si>
  <si>
    <t xml:space="preserve">licence professionnelle</t>
  </si>
  <si>
    <t xml:space="preserve">SPE027</t>
  </si>
  <si>
    <t xml:space="preserve">STD2A</t>
  </si>
  <si>
    <t xml:space="preserve">MAT027</t>
  </si>
  <si>
    <t xml:space="preserve">éducation physique, pratiques et culture sportives</t>
  </si>
  <si>
    <t xml:space="preserve">NIV028</t>
  </si>
  <si>
    <t xml:space="preserve">DEUST</t>
  </si>
  <si>
    <t xml:space="preserve">SPE028</t>
  </si>
  <si>
    <t xml:space="preserve">STHR</t>
  </si>
  <si>
    <t xml:space="preserve">MAT028</t>
  </si>
  <si>
    <t xml:space="preserve">philosophie</t>
  </si>
  <si>
    <t xml:space="preserve">NIV029</t>
  </si>
  <si>
    <t xml:space="preserve">Diplôme d'école</t>
  </si>
  <si>
    <t xml:space="preserve">SPE029</t>
  </si>
  <si>
    <t xml:space="preserve">S2TMD</t>
  </si>
  <si>
    <t xml:space="preserve">MAT029</t>
  </si>
  <si>
    <t xml:space="preserve">DGEMC</t>
  </si>
  <si>
    <t xml:space="preserve">NIV030</t>
  </si>
  <si>
    <t xml:space="preserve">DSAA</t>
  </si>
  <si>
    <t xml:space="preserve">SPE030</t>
  </si>
  <si>
    <t xml:space="preserve">STAV</t>
  </si>
  <si>
    <t xml:space="preserve">MAT030</t>
  </si>
  <si>
    <t xml:space="preserve">latin</t>
  </si>
  <si>
    <t xml:space="preserve">NIV031</t>
  </si>
  <si>
    <t xml:space="preserve">DCG</t>
  </si>
  <si>
    <t xml:space="preserve">SPE031</t>
  </si>
  <si>
    <t xml:space="preserve">bac pro – production</t>
  </si>
  <si>
    <t xml:space="preserve">MAT031</t>
  </si>
  <si>
    <t xml:space="preserve">grec ancien</t>
  </si>
  <si>
    <t xml:space="preserve">NIV032</t>
  </si>
  <si>
    <t xml:space="preserve">bachelor agro</t>
  </si>
  <si>
    <t xml:space="preserve">SPE032</t>
  </si>
  <si>
    <t xml:space="preserve">bac pro – services</t>
  </si>
  <si>
    <t xml:space="preserve">MAT032</t>
  </si>
  <si>
    <t xml:space="preserve">littérature française</t>
  </si>
  <si>
    <t xml:space="preserve">NIV033</t>
  </si>
  <si>
    <t xml:space="preserve">bachelor</t>
  </si>
  <si>
    <t xml:space="preserve">SPE033</t>
  </si>
  <si>
    <t xml:space="preserve">CAP</t>
  </si>
  <si>
    <t xml:space="preserve">MAT033</t>
  </si>
  <si>
    <t xml:space="preserve">littérature comparée</t>
  </si>
  <si>
    <t xml:space="preserve">NIV034</t>
  </si>
  <si>
    <t xml:space="preserve">SPE034</t>
  </si>
  <si>
    <t xml:space="preserve">MP</t>
  </si>
  <si>
    <t xml:space="preserve">MAT034</t>
  </si>
  <si>
    <t xml:space="preserve">langue française et stylistique</t>
  </si>
  <si>
    <t xml:space="preserve">NIV035</t>
  </si>
  <si>
    <t xml:space="preserve">PASS</t>
  </si>
  <si>
    <t xml:space="preserve">SPE035</t>
  </si>
  <si>
    <t xml:space="preserve">MPI</t>
  </si>
  <si>
    <t xml:space="preserve">MAT035</t>
  </si>
  <si>
    <t xml:space="preserve">linguistique</t>
  </si>
  <si>
    <t xml:space="preserve">NIV036</t>
  </si>
  <si>
    <t xml:space="preserve">DSCG</t>
  </si>
  <si>
    <t xml:space="preserve">SPE036</t>
  </si>
  <si>
    <t xml:space="preserve">PC</t>
  </si>
  <si>
    <t xml:space="preserve">MAT036</t>
  </si>
  <si>
    <t xml:space="preserve">économie</t>
  </si>
  <si>
    <t xml:space="preserve">SPE037</t>
  </si>
  <si>
    <t xml:space="preserve">PSI</t>
  </si>
  <si>
    <t xml:space="preserve">MAT037</t>
  </si>
  <si>
    <t xml:space="preserve">sociologie</t>
  </si>
  <si>
    <t xml:space="preserve">SPE038</t>
  </si>
  <si>
    <t xml:space="preserve">PT</t>
  </si>
  <si>
    <t xml:space="preserve">MAT038</t>
  </si>
  <si>
    <t xml:space="preserve">géopolitique</t>
  </si>
  <si>
    <t xml:space="preserve">SPE039</t>
  </si>
  <si>
    <t xml:space="preserve">TSI</t>
  </si>
  <si>
    <t xml:space="preserve">MAT039</t>
  </si>
  <si>
    <t xml:space="preserve">design</t>
  </si>
  <si>
    <t xml:space="preserve">SPE040</t>
  </si>
  <si>
    <t xml:space="preserve">TB</t>
  </si>
  <si>
    <t xml:space="preserve">MAT040</t>
  </si>
  <si>
    <t xml:space="preserve">histoire de l'art</t>
  </si>
  <si>
    <t xml:space="preserve">SPE041</t>
  </si>
  <si>
    <t xml:space="preserve">ATS</t>
  </si>
  <si>
    <t xml:space="preserve">MAT041</t>
  </si>
  <si>
    <t xml:space="preserve">biologie</t>
  </si>
  <si>
    <t xml:space="preserve">SPE042</t>
  </si>
  <si>
    <t xml:space="preserve">ECG</t>
  </si>
  <si>
    <t xml:space="preserve">MAT042</t>
  </si>
  <si>
    <t xml:space="preserve">géologie</t>
  </si>
  <si>
    <t xml:space="preserve">SPE043</t>
  </si>
  <si>
    <t xml:space="preserve">ECT</t>
  </si>
  <si>
    <t xml:space="preserve">MAT043</t>
  </si>
  <si>
    <t xml:space="preserve">informatique</t>
  </si>
  <si>
    <t xml:space="preserve">SPE044</t>
  </si>
  <si>
    <t xml:space="preserve">ENS D1 (droit-économie)</t>
  </si>
  <si>
    <t xml:space="preserve">MAT044</t>
  </si>
  <si>
    <t xml:space="preserve">français-philosophie</t>
  </si>
  <si>
    <t xml:space="preserve">SPE045</t>
  </si>
  <si>
    <t xml:space="preserve">ENS D2 (économie-gestion)</t>
  </si>
  <si>
    <t xml:space="preserve">MAT045</t>
  </si>
  <si>
    <t xml:space="preserve">projet architectural</t>
  </si>
  <si>
    <t xml:space="preserve">SPE046</t>
  </si>
  <si>
    <t xml:space="preserve">accès santé (PASS / LAS)</t>
  </si>
  <si>
    <t xml:space="preserve">MAT046</t>
  </si>
  <si>
    <t xml:space="preserve">histoire de l'architecture</t>
  </si>
  <si>
    <t xml:space="preserve">SPE047</t>
  </si>
  <si>
    <t xml:space="preserve">médecine</t>
  </si>
  <si>
    <t xml:space="preserve">MAT047</t>
  </si>
  <si>
    <t xml:space="preserve">construction et structures</t>
  </si>
  <si>
    <t xml:space="preserve">SPE048</t>
  </si>
  <si>
    <t xml:space="preserve">pharmacie</t>
  </si>
  <si>
    <t xml:space="preserve">MAT048</t>
  </si>
  <si>
    <t xml:space="preserve">urbanisme</t>
  </si>
  <si>
    <t xml:space="preserve">SPE049</t>
  </si>
  <si>
    <t xml:space="preserve">odontologie</t>
  </si>
  <si>
    <t xml:space="preserve">MAT049</t>
  </si>
  <si>
    <t xml:space="preserve">représentation (dessin, CAO)</t>
  </si>
  <si>
    <t xml:space="preserve">SPE050</t>
  </si>
  <si>
    <t xml:space="preserve">maïeutique (sage-femme)</t>
  </si>
  <si>
    <t xml:space="preserve">MAT050</t>
  </si>
  <si>
    <t xml:space="preserve">dessin</t>
  </si>
  <si>
    <t xml:space="preserve">SPE051</t>
  </si>
  <si>
    <t xml:space="preserve">soins infirmiers</t>
  </si>
  <si>
    <t xml:space="preserve">MAT051</t>
  </si>
  <si>
    <t xml:space="preserve">photographie</t>
  </si>
  <si>
    <t xml:space="preserve">SPE052</t>
  </si>
  <si>
    <t xml:space="preserve">kinésithérapie</t>
  </si>
  <si>
    <t xml:space="preserve">MAT052</t>
  </si>
  <si>
    <t xml:space="preserve">cinéma et analyse filmique</t>
  </si>
  <si>
    <t xml:space="preserve">SPE053</t>
  </si>
  <si>
    <t xml:space="preserve">médecine vétérinaire</t>
  </si>
  <si>
    <t xml:space="preserve">MAT053</t>
  </si>
  <si>
    <t xml:space="preserve">techniques audiovisuelles (image, son, montage)</t>
  </si>
  <si>
    <t xml:space="preserve">SPE054</t>
  </si>
  <si>
    <t xml:space="preserve">travail social</t>
  </si>
  <si>
    <t xml:space="preserve">MAT054</t>
  </si>
  <si>
    <t xml:space="preserve">écriture de scénario</t>
  </si>
  <si>
    <t xml:space="preserve">SPE055</t>
  </si>
  <si>
    <t xml:space="preserve">MAT055</t>
  </si>
  <si>
    <t xml:space="preserve">formation musicale</t>
  </si>
  <si>
    <t xml:space="preserve">SPE056</t>
  </si>
  <si>
    <t xml:space="preserve">MAT056</t>
  </si>
  <si>
    <t xml:space="preserve">histoire de la musique</t>
  </si>
  <si>
    <t xml:space="preserve">SPE057</t>
  </si>
  <si>
    <t xml:space="preserve">physique-chimie</t>
  </si>
  <si>
    <t xml:space="preserve">MAT057</t>
  </si>
  <si>
    <t xml:space="preserve">analyse musicale</t>
  </si>
  <si>
    <t xml:space="preserve">SPE058</t>
  </si>
  <si>
    <t xml:space="preserve">sciences de la vie</t>
  </si>
  <si>
    <t xml:space="preserve">MAT058</t>
  </si>
  <si>
    <t xml:space="preserve">instrument</t>
  </si>
  <si>
    <t xml:space="preserve">SPE059</t>
  </si>
  <si>
    <t xml:space="preserve">sciences de la Terre et environnement</t>
  </si>
  <si>
    <t xml:space="preserve">MAT059</t>
  </si>
  <si>
    <t xml:space="preserve">danse</t>
  </si>
  <si>
    <t xml:space="preserve">SPE060</t>
  </si>
  <si>
    <t xml:space="preserve">génie mécanique et industriel</t>
  </si>
  <si>
    <t xml:space="preserve">MAT060</t>
  </si>
  <si>
    <t xml:space="preserve">histoire de la danse</t>
  </si>
  <si>
    <t xml:space="preserve">SPE061</t>
  </si>
  <si>
    <t xml:space="preserve">génie électrique et électronique</t>
  </si>
  <si>
    <t xml:space="preserve">MAT061</t>
  </si>
  <si>
    <t xml:space="preserve">anatomie</t>
  </si>
  <si>
    <t xml:space="preserve">SPE062</t>
  </si>
  <si>
    <t xml:space="preserve">génie civil et BTP</t>
  </si>
  <si>
    <t xml:space="preserve">MAT062</t>
  </si>
  <si>
    <t xml:space="preserve">jeu théâtral</t>
  </si>
  <si>
    <t xml:space="preserve">SPE063</t>
  </si>
  <si>
    <t xml:space="preserve">chimie et génie des procédés</t>
  </si>
  <si>
    <t xml:space="preserve">MAT063</t>
  </si>
  <si>
    <t xml:space="preserve">histoire du théâtre</t>
  </si>
  <si>
    <t xml:space="preserve">SPE064</t>
  </si>
  <si>
    <t xml:space="preserve">ingénierie généraliste</t>
  </si>
  <si>
    <t xml:space="preserve">MAT064</t>
  </si>
  <si>
    <t xml:space="preserve">dramaturgie</t>
  </si>
  <si>
    <t xml:space="preserve">SPE065</t>
  </si>
  <si>
    <t xml:space="preserve">agronomie et agriculture</t>
  </si>
  <si>
    <t xml:space="preserve">MAT065</t>
  </si>
  <si>
    <t xml:space="preserve">voix et diction</t>
  </si>
  <si>
    <t xml:space="preserve">SPE066</t>
  </si>
  <si>
    <t xml:space="preserve">droit</t>
  </si>
  <si>
    <t xml:space="preserve">MAT066</t>
  </si>
  <si>
    <t xml:space="preserve">arts du cirque</t>
  </si>
  <si>
    <t xml:space="preserve">SPE067</t>
  </si>
  <si>
    <t xml:space="preserve">science politique</t>
  </si>
  <si>
    <t xml:space="preserve">MAT067</t>
  </si>
  <si>
    <t xml:space="preserve">mime et arts du geste</t>
  </si>
  <si>
    <t xml:space="preserve">SPE068</t>
  </si>
  <si>
    <t xml:space="preserve">MAT068</t>
  </si>
  <si>
    <t xml:space="preserve">histoire des arts du cirque</t>
  </si>
  <si>
    <t xml:space="preserve">SPE069</t>
  </si>
  <si>
    <t xml:space="preserve">gestion et management</t>
  </si>
  <si>
    <t xml:space="preserve">MAT069</t>
  </si>
  <si>
    <t xml:space="preserve">espagnol</t>
  </si>
  <si>
    <t xml:space="preserve">SPE070</t>
  </si>
  <si>
    <t xml:space="preserve">comptabilité et finance</t>
  </si>
  <si>
    <t xml:space="preserve">MAT070</t>
  </si>
  <si>
    <t xml:space="preserve">allemand</t>
  </si>
  <si>
    <t xml:space="preserve">SPE071</t>
  </si>
  <si>
    <t xml:space="preserve">commerce, marketing et vente</t>
  </si>
  <si>
    <t xml:space="preserve">MAT071</t>
  </si>
  <si>
    <t xml:space="preserve">italien</t>
  </si>
  <si>
    <t xml:space="preserve">SPE072</t>
  </si>
  <si>
    <t xml:space="preserve">commerce international</t>
  </si>
  <si>
    <t xml:space="preserve">MAT072</t>
  </si>
  <si>
    <t xml:space="preserve">enseignement scientifique</t>
  </si>
  <si>
    <t xml:space="preserve">SPE073</t>
  </si>
  <si>
    <t xml:space="preserve">ressources humaines</t>
  </si>
  <si>
    <t xml:space="preserve">MAT073</t>
  </si>
  <si>
    <t xml:space="preserve">mathématiques complémentaires</t>
  </si>
  <si>
    <t xml:space="preserve">SPE074</t>
  </si>
  <si>
    <t xml:space="preserve">transport et logistique</t>
  </si>
  <si>
    <t xml:space="preserve">MAT074</t>
  </si>
  <si>
    <t xml:space="preserve">mathématiques expertes</t>
  </si>
  <si>
    <t xml:space="preserve">SPE075</t>
  </si>
  <si>
    <t xml:space="preserve">banque, assurance et immobilier</t>
  </si>
  <si>
    <t xml:space="preserve">MAT075</t>
  </si>
  <si>
    <t xml:space="preserve">biologie-écologie</t>
  </si>
  <si>
    <t xml:space="preserve">SPE076</t>
  </si>
  <si>
    <t xml:space="preserve">tourisme, hôtellerie et restauration</t>
  </si>
  <si>
    <t xml:space="preserve">MAT076</t>
  </si>
  <si>
    <t xml:space="preserve">management</t>
  </si>
  <si>
    <t xml:space="preserve">SPE077</t>
  </si>
  <si>
    <t xml:space="preserve">communication et information</t>
  </si>
  <si>
    <t xml:space="preserve">MAT077</t>
  </si>
  <si>
    <t xml:space="preserve">sciences de gestion et numérique</t>
  </si>
  <si>
    <t xml:space="preserve">SPE078</t>
  </si>
  <si>
    <t xml:space="preserve">journalisme</t>
  </si>
  <si>
    <t xml:space="preserve">MAT078</t>
  </si>
  <si>
    <t xml:space="preserve">droit et économie</t>
  </si>
  <si>
    <t xml:space="preserve">SPE079</t>
  </si>
  <si>
    <t xml:space="preserve">langues étrangères (LLCER)</t>
  </si>
  <si>
    <t xml:space="preserve">MAT079</t>
  </si>
  <si>
    <t xml:space="preserve">innovation technologique</t>
  </si>
  <si>
    <t xml:space="preserve">SPE080</t>
  </si>
  <si>
    <t xml:space="preserve">langues étrangères appliquées (LEA)</t>
  </si>
  <si>
    <t xml:space="preserve">MAT080</t>
  </si>
  <si>
    <t xml:space="preserve">ingénierie et développement durable (2I2D)</t>
  </si>
  <si>
    <t xml:space="preserve">SPE081</t>
  </si>
  <si>
    <t xml:space="preserve">MAT081</t>
  </si>
  <si>
    <t xml:space="preserve">biochimie</t>
  </si>
  <si>
    <t xml:space="preserve">SPE082</t>
  </si>
  <si>
    <t xml:space="preserve">géographie et aménagement</t>
  </si>
  <si>
    <t xml:space="preserve">MAT082</t>
  </si>
  <si>
    <t xml:space="preserve">biotechnologies</t>
  </si>
  <si>
    <t xml:space="preserve">SPE083</t>
  </si>
  <si>
    <t xml:space="preserve">MAT083</t>
  </si>
  <si>
    <t xml:space="preserve">sciences et techniques sanitaires et sociales</t>
  </si>
  <si>
    <t xml:space="preserve">SPE084</t>
  </si>
  <si>
    <t xml:space="preserve">MAT084</t>
  </si>
  <si>
    <t xml:space="preserve">biologie et physiopathologie humaines</t>
  </si>
  <si>
    <t xml:space="preserve">SPE085</t>
  </si>
  <si>
    <t xml:space="preserve">psychologie</t>
  </si>
  <si>
    <t xml:space="preserve">MAT085</t>
  </si>
  <si>
    <t xml:space="preserve">économie et gestion hôtelière</t>
  </si>
  <si>
    <t xml:space="preserve">SPE086</t>
  </si>
  <si>
    <t xml:space="preserve">sciences de l'éducation et enseignement (MEEF)</t>
  </si>
  <si>
    <t xml:space="preserve">MAT086</t>
  </si>
  <si>
    <t xml:space="preserve">sciences et technologies culinaires et des services</t>
  </si>
  <si>
    <t xml:space="preserve">SPE087</t>
  </si>
  <si>
    <t xml:space="preserve">STAPS</t>
  </si>
  <si>
    <t xml:space="preserve">MAT087</t>
  </si>
  <si>
    <t xml:space="preserve">agronomie</t>
  </si>
  <si>
    <t xml:space="preserve">SPE088</t>
  </si>
  <si>
    <t xml:space="preserve">MAT088</t>
  </si>
  <si>
    <t xml:space="preserve">arts appliqués</t>
  </si>
  <si>
    <t xml:space="preserve">SPE089</t>
  </si>
  <si>
    <t xml:space="preserve">préparation aux concours</t>
  </si>
  <si>
    <t xml:space="preserve">MAT089</t>
  </si>
  <si>
    <t xml:space="preserve">prévention santé environnement (PSE)</t>
  </si>
  <si>
    <t xml:space="preserve">MAT090</t>
  </si>
  <si>
    <t xml:space="preserve">économie-gestion</t>
  </si>
  <si>
    <t xml:space="preserve">MAT091</t>
  </si>
  <si>
    <t xml:space="preserve">enseignement professionnel</t>
  </si>
  <si>
    <t xml:space="preserve">MAT092</t>
  </si>
  <si>
    <t xml:space="preserve">économie-droit</t>
  </si>
  <si>
    <t xml:space="preserve">MAT093</t>
  </si>
  <si>
    <t xml:space="preserve">économie, sociologie et histoire (ESH)</t>
  </si>
  <si>
    <t xml:space="preserve">MAT094</t>
  </si>
  <si>
    <t xml:space="preserve">histoire, géographie et géopolitique (HGG)</t>
  </si>
  <si>
    <t xml:space="preserve">MAT095</t>
  </si>
  <si>
    <t xml:space="preserve">MAT096</t>
  </si>
  <si>
    <t xml:space="preserve">droit civil</t>
  </si>
  <si>
    <t xml:space="preserve">MAT097</t>
  </si>
  <si>
    <t xml:space="preserve">droit constitutionnel</t>
  </si>
  <si>
    <t xml:space="preserve">MAT098</t>
  </si>
  <si>
    <t xml:space="preserve">microéconomie</t>
  </si>
  <si>
    <t xml:space="preserve">MAT099</t>
  </si>
  <si>
    <t xml:space="preserve">macroéconomie</t>
  </si>
  <si>
    <t xml:space="preserve">MAT100</t>
  </si>
  <si>
    <t xml:space="preserve">gestion</t>
  </si>
  <si>
    <t xml:space="preserve">MAT101</t>
  </si>
  <si>
    <t xml:space="preserve">biologie cellulaire</t>
  </si>
  <si>
    <t xml:space="preserve">MAT102</t>
  </si>
  <si>
    <t xml:space="preserve">biophysique</t>
  </si>
  <si>
    <t xml:space="preserve">MAT103</t>
  </si>
  <si>
    <t xml:space="preserve">physiologie</t>
  </si>
  <si>
    <t xml:space="preserve">MAT104</t>
  </si>
  <si>
    <t xml:space="preserve">histologie-embryologie</t>
  </si>
  <si>
    <t xml:space="preserve">MAT105</t>
  </si>
  <si>
    <t xml:space="preserve">génétique</t>
  </si>
  <si>
    <t xml:space="preserve">MAT106</t>
  </si>
  <si>
    <t xml:space="preserve">statistiques</t>
  </si>
  <si>
    <t xml:space="preserve">MAT107</t>
  </si>
  <si>
    <t xml:space="preserve">santé publique</t>
  </si>
  <si>
    <t xml:space="preserve">MAT108</t>
  </si>
  <si>
    <t xml:space="preserve">sciences humaines et sociales (santé)</t>
  </si>
  <si>
    <t xml:space="preserve">MAT109</t>
  </si>
  <si>
    <t xml:space="preserve">sémiologie</t>
  </si>
  <si>
    <t xml:space="preserve">MAT110</t>
  </si>
  <si>
    <t xml:space="preserve">pharmacologie</t>
  </si>
  <si>
    <t xml:space="preserve">MAT111</t>
  </si>
  <si>
    <t xml:space="preserve">immunologie</t>
  </si>
  <si>
    <t xml:space="preserve">MAT112</t>
  </si>
  <si>
    <t xml:space="preserve">microbiologie</t>
  </si>
  <si>
    <t xml:space="preserve">MAT113</t>
  </si>
  <si>
    <t xml:space="preserve">cardiologie</t>
  </si>
  <si>
    <t xml:space="preserve">MAT114</t>
  </si>
  <si>
    <t xml:space="preserve">pneumologie</t>
  </si>
  <si>
    <t xml:space="preserve">MAT115</t>
  </si>
  <si>
    <t xml:space="preserve">gastro-entérologie</t>
  </si>
  <si>
    <t xml:space="preserve">MAT116</t>
  </si>
  <si>
    <t xml:space="preserve">néphrologie</t>
  </si>
  <si>
    <t xml:space="preserve">MAT117</t>
  </si>
  <si>
    <t xml:space="preserve">neurologie</t>
  </si>
  <si>
    <t xml:space="preserve">MAT118</t>
  </si>
  <si>
    <t xml:space="preserve">psychiatrie</t>
  </si>
  <si>
    <t xml:space="preserve">MAT119</t>
  </si>
  <si>
    <t xml:space="preserve">pédiatrie</t>
  </si>
  <si>
    <t xml:space="preserve">MAT120</t>
  </si>
  <si>
    <t xml:space="preserve">gynécologie-obstétrique</t>
  </si>
  <si>
    <t xml:space="preserve">MAT121</t>
  </si>
  <si>
    <t xml:space="preserve">infectiologie</t>
  </si>
  <si>
    <t xml:space="preserve">MAT122</t>
  </si>
  <si>
    <t xml:space="preserve">dermatologie</t>
  </si>
  <si>
    <t xml:space="preserve">MAT123</t>
  </si>
  <si>
    <t xml:space="preserve">endocrinologie</t>
  </si>
  <si>
    <t xml:space="preserve">MAT124</t>
  </si>
  <si>
    <t xml:space="preserve">hématologie</t>
  </si>
  <si>
    <t xml:space="preserve">MAT125</t>
  </si>
  <si>
    <t xml:space="preserve">cancérologie</t>
  </si>
  <si>
    <t xml:space="preserve">MAT126</t>
  </si>
  <si>
    <t xml:space="preserve">urgences et réanimation</t>
  </si>
  <si>
    <t xml:space="preserve">MAT127</t>
  </si>
  <si>
    <t xml:space="preserve">chirurgie</t>
  </si>
  <si>
    <t xml:space="preserve">MAT128</t>
  </si>
  <si>
    <t xml:space="preserve">éthique et législation</t>
  </si>
  <si>
    <t xml:space="preserve">MAT129</t>
  </si>
  <si>
    <t xml:space="preserve">chimie organique</t>
  </si>
  <si>
    <t xml:space="preserve">MAT130</t>
  </si>
  <si>
    <t xml:space="preserve">chimie analytique</t>
  </si>
  <si>
    <t xml:space="preserve">MAT131</t>
  </si>
  <si>
    <t xml:space="preserve">pharmacie galénique</t>
  </si>
  <si>
    <t xml:space="preserve">MAT132</t>
  </si>
  <si>
    <t xml:space="preserve">toxicologie</t>
  </si>
  <si>
    <t xml:space="preserve">MAT133</t>
  </si>
  <si>
    <t xml:space="preserve">pharmacognosie et botanique</t>
  </si>
  <si>
    <t xml:space="preserve">MAT134</t>
  </si>
  <si>
    <t xml:space="preserve">MAT135</t>
  </si>
  <si>
    <t xml:space="preserve">biomatériaux</t>
  </si>
  <si>
    <t xml:space="preserve">MAT136</t>
  </si>
  <si>
    <t xml:space="preserve">sciences et techniques infirmières</t>
  </si>
  <si>
    <t xml:space="preserve">MAT137</t>
  </si>
  <si>
    <t xml:space="preserve">MAT138</t>
  </si>
  <si>
    <t xml:space="preserve">biomécanique</t>
  </si>
  <si>
    <t xml:space="preserve">MAT139</t>
  </si>
  <si>
    <t xml:space="preserve">techniques de rééducation</t>
  </si>
  <si>
    <t xml:space="preserve">MAT140</t>
  </si>
  <si>
    <t xml:space="preserve">zootechnie</t>
  </si>
  <si>
    <t xml:space="preserve">MAT141</t>
  </si>
  <si>
    <t xml:space="preserve">pathologie animale</t>
  </si>
  <si>
    <t xml:space="preserve">MAT142</t>
  </si>
  <si>
    <t xml:space="preserve">politiques sociales</t>
  </si>
  <si>
    <t xml:space="preserve">MAT143</t>
  </si>
  <si>
    <t xml:space="preserve">méthodologie d'intervention sociale</t>
  </si>
  <si>
    <t xml:space="preserve">MAT144</t>
  </si>
  <si>
    <t xml:space="preserve">algèbre</t>
  </si>
  <si>
    <t xml:space="preserve">MAT145</t>
  </si>
  <si>
    <t xml:space="preserve">analyse</t>
  </si>
  <si>
    <t xml:space="preserve">MAT146</t>
  </si>
  <si>
    <t xml:space="preserve">géométrie</t>
  </si>
  <si>
    <t xml:space="preserve">MAT147</t>
  </si>
  <si>
    <t xml:space="preserve">probabilités</t>
  </si>
  <si>
    <t xml:space="preserve">MAT148</t>
  </si>
  <si>
    <t xml:space="preserve">algorithmique et programmation</t>
  </si>
  <si>
    <t xml:space="preserve">MAT149</t>
  </si>
  <si>
    <t xml:space="preserve">bases de données</t>
  </si>
  <si>
    <t xml:space="preserve">MAT150</t>
  </si>
  <si>
    <t xml:space="preserve">réseaux</t>
  </si>
  <si>
    <t xml:space="preserve">MAT151</t>
  </si>
  <si>
    <t xml:space="preserve">systèmes d'exploitation</t>
  </si>
  <si>
    <t xml:space="preserve">MAT152</t>
  </si>
  <si>
    <t xml:space="preserve">génie logiciel</t>
  </si>
  <si>
    <t xml:space="preserve">MAT153</t>
  </si>
  <si>
    <t xml:space="preserve">développement web</t>
  </si>
  <si>
    <t xml:space="preserve">MAT154</t>
  </si>
  <si>
    <t xml:space="preserve">cybersécurité</t>
  </si>
  <si>
    <t xml:space="preserve">MAT155</t>
  </si>
  <si>
    <t xml:space="preserve">intelligence artificielle</t>
  </si>
  <si>
    <t xml:space="preserve">MAT156</t>
  </si>
  <si>
    <t xml:space="preserve">mécanique</t>
  </si>
  <si>
    <t xml:space="preserve">MAT157</t>
  </si>
  <si>
    <t xml:space="preserve">thermodynamique</t>
  </si>
  <si>
    <t xml:space="preserve">MAT158</t>
  </si>
  <si>
    <t xml:space="preserve">électromagnétisme</t>
  </si>
  <si>
    <t xml:space="preserve">MAT159</t>
  </si>
  <si>
    <t xml:space="preserve">optique</t>
  </si>
  <si>
    <t xml:space="preserve">MAT160</t>
  </si>
  <si>
    <t xml:space="preserve">physique quantique</t>
  </si>
  <si>
    <t xml:space="preserve">MAT161</t>
  </si>
  <si>
    <t xml:space="preserve">chimie inorganique</t>
  </si>
  <si>
    <t xml:space="preserve">MAT162</t>
  </si>
  <si>
    <t xml:space="preserve">écologie</t>
  </si>
  <si>
    <t xml:space="preserve">MAT163</t>
  </si>
  <si>
    <t xml:space="preserve">climatologie</t>
  </si>
  <si>
    <t xml:space="preserve">MAT164</t>
  </si>
  <si>
    <t xml:space="preserve">cartographie et SIG</t>
  </si>
  <si>
    <t xml:space="preserve">MAT165</t>
  </si>
  <si>
    <t xml:space="preserve">résistance des matériaux</t>
  </si>
  <si>
    <t xml:space="preserve">MAT166</t>
  </si>
  <si>
    <t xml:space="preserve">sciences des matériaux</t>
  </si>
  <si>
    <t xml:space="preserve">MAT167</t>
  </si>
  <si>
    <t xml:space="preserve">conception et CAO</t>
  </si>
  <si>
    <t xml:space="preserve">MAT168</t>
  </si>
  <si>
    <t xml:space="preserve">production et fabrication</t>
  </si>
  <si>
    <t xml:space="preserve">MAT169</t>
  </si>
  <si>
    <t xml:space="preserve">électronique</t>
  </si>
  <si>
    <t xml:space="preserve">MAT170</t>
  </si>
  <si>
    <t xml:space="preserve">électrotechnique</t>
  </si>
  <si>
    <t xml:space="preserve">MAT171</t>
  </si>
  <si>
    <t xml:space="preserve">automatique</t>
  </si>
  <si>
    <t xml:space="preserve">MAT172</t>
  </si>
  <si>
    <t xml:space="preserve">géotechnique</t>
  </si>
  <si>
    <t xml:space="preserve">MAT173</t>
  </si>
  <si>
    <t xml:space="preserve">topographie</t>
  </si>
  <si>
    <t xml:space="preserve">MAT174</t>
  </si>
  <si>
    <t xml:space="preserve">économie de la construction</t>
  </si>
  <si>
    <t xml:space="preserve">MAT175</t>
  </si>
  <si>
    <t xml:space="preserve">génie des procédés</t>
  </si>
  <si>
    <t xml:space="preserve">MAT176</t>
  </si>
  <si>
    <t xml:space="preserve">gestion de projet</t>
  </si>
  <si>
    <t xml:space="preserve">MAT177</t>
  </si>
  <si>
    <t xml:space="preserve">sciences des aliments</t>
  </si>
  <si>
    <t xml:space="preserve">MAT178</t>
  </si>
  <si>
    <t xml:space="preserve">droit administratif</t>
  </si>
  <si>
    <t xml:space="preserve">MAT179</t>
  </si>
  <si>
    <t xml:space="preserve">droit pénal</t>
  </si>
  <si>
    <t xml:space="preserve">MAT180</t>
  </si>
  <si>
    <t xml:space="preserve">droit des affaires</t>
  </si>
  <si>
    <t xml:space="preserve">MAT181</t>
  </si>
  <si>
    <t xml:space="preserve">droit du travail</t>
  </si>
  <si>
    <t xml:space="preserve">MAT182</t>
  </si>
  <si>
    <t xml:space="preserve">droit international</t>
  </si>
  <si>
    <t xml:space="preserve">MAT183</t>
  </si>
  <si>
    <t xml:space="preserve">droit européen</t>
  </si>
  <si>
    <t xml:space="preserve">MAT184</t>
  </si>
  <si>
    <t xml:space="preserve">histoire du droit</t>
  </si>
  <si>
    <t xml:space="preserve">MAT185</t>
  </si>
  <si>
    <t xml:space="preserve">MAT186</t>
  </si>
  <si>
    <t xml:space="preserve">relations internationales</t>
  </si>
  <si>
    <t xml:space="preserve">MAT187</t>
  </si>
  <si>
    <t xml:space="preserve">économétrie</t>
  </si>
  <si>
    <t xml:space="preserve">MAT188</t>
  </si>
  <si>
    <t xml:space="preserve">histoire économique</t>
  </si>
  <si>
    <t xml:space="preserve">MAT189</t>
  </si>
  <si>
    <t xml:space="preserve">culture générale et expression</t>
  </si>
  <si>
    <t xml:space="preserve">MAT190</t>
  </si>
  <si>
    <t xml:space="preserve">CEJM (culture éco., juridique et managériale)</t>
  </si>
  <si>
    <t xml:space="preserve">MAT191</t>
  </si>
  <si>
    <t xml:space="preserve">comptabilité</t>
  </si>
  <si>
    <t xml:space="preserve">MAT192</t>
  </si>
  <si>
    <t xml:space="preserve">marketing</t>
  </si>
  <si>
    <t xml:space="preserve">MAT193</t>
  </si>
  <si>
    <t xml:space="preserve">contrôle de gestion</t>
  </si>
  <si>
    <t xml:space="preserve">MAT194</t>
  </si>
  <si>
    <t xml:space="preserve">finance</t>
  </si>
  <si>
    <t xml:space="preserve">MAT195</t>
  </si>
  <si>
    <t xml:space="preserve">fiscalité</t>
  </si>
  <si>
    <t xml:space="preserve">MAT196</t>
  </si>
  <si>
    <t xml:space="preserve">audit</t>
  </si>
  <si>
    <t xml:space="preserve">MAT197</t>
  </si>
  <si>
    <t xml:space="preserve">négociation et relation client</t>
  </si>
  <si>
    <t xml:space="preserve">MAT198</t>
  </si>
  <si>
    <t xml:space="preserve">communication</t>
  </si>
  <si>
    <t xml:space="preserve">MAT199</t>
  </si>
  <si>
    <t xml:space="preserve">MAT200</t>
  </si>
  <si>
    <t xml:space="preserve">logistique</t>
  </si>
  <si>
    <t xml:space="preserve">MAT201</t>
  </si>
  <si>
    <t xml:space="preserve">gestion des ressources humaines</t>
  </si>
  <si>
    <t xml:space="preserve">MAT202</t>
  </si>
  <si>
    <t xml:space="preserve">tourisme</t>
  </si>
  <si>
    <t xml:space="preserve">MAT203</t>
  </si>
  <si>
    <t xml:space="preserve">techniques journalistiques</t>
  </si>
  <si>
    <t xml:space="preserve">MAT204</t>
  </si>
  <si>
    <t xml:space="preserve">littérature étrangère</t>
  </si>
  <si>
    <t xml:space="preserve">MAT205</t>
  </si>
  <si>
    <t xml:space="preserve">civilisation</t>
  </si>
  <si>
    <t xml:space="preserve">MAT206</t>
  </si>
  <si>
    <t xml:space="preserve">traduction</t>
  </si>
  <si>
    <t xml:space="preserve">MAT207</t>
  </si>
  <si>
    <t xml:space="preserve">histoire ancienne</t>
  </si>
  <si>
    <t xml:space="preserve">MAT208</t>
  </si>
  <si>
    <t xml:space="preserve">histoire médiévale</t>
  </si>
  <si>
    <t xml:space="preserve">MAT209</t>
  </si>
  <si>
    <t xml:space="preserve">histoire moderne</t>
  </si>
  <si>
    <t xml:space="preserve">MAT210</t>
  </si>
  <si>
    <t xml:space="preserve">histoire contemporaine</t>
  </si>
  <si>
    <t xml:space="preserve">MAT211</t>
  </si>
  <si>
    <t xml:space="preserve">aménagement du territoire</t>
  </si>
  <si>
    <t xml:space="preserve">MAT212</t>
  </si>
  <si>
    <t xml:space="preserve">histoire de la philosophie</t>
  </si>
  <si>
    <t xml:space="preserve">MAT213</t>
  </si>
  <si>
    <t xml:space="preserve">logique</t>
  </si>
  <si>
    <t xml:space="preserve">MAT214</t>
  </si>
  <si>
    <t xml:space="preserve">anthropologie</t>
  </si>
  <si>
    <t xml:space="preserve">MAT215</t>
  </si>
  <si>
    <t xml:space="preserve">méthodes d'enquête</t>
  </si>
  <si>
    <t xml:space="preserve">MAT216</t>
  </si>
  <si>
    <t xml:space="preserve">psychologie cognitive</t>
  </si>
  <si>
    <t xml:space="preserve">MAT217</t>
  </si>
  <si>
    <t xml:space="preserve">psychologie du développement</t>
  </si>
  <si>
    <t xml:space="preserve">MAT218</t>
  </si>
  <si>
    <t xml:space="preserve">psychologie sociale</t>
  </si>
  <si>
    <t xml:space="preserve">MAT219</t>
  </si>
  <si>
    <t xml:space="preserve">psychopathologie</t>
  </si>
  <si>
    <t xml:space="preserve">MAT220</t>
  </si>
  <si>
    <t xml:space="preserve">neurosciences</t>
  </si>
  <si>
    <t xml:space="preserve">MAT221</t>
  </si>
  <si>
    <t xml:space="preserve">sciences de l'éducation</t>
  </si>
  <si>
    <t xml:space="preserve">MAT222</t>
  </si>
  <si>
    <t xml:space="preserve">didactique</t>
  </si>
  <si>
    <t xml:space="preserve">MAT223</t>
  </si>
  <si>
    <t xml:space="preserve">entraînement sportif</t>
  </si>
  <si>
    <t xml:space="preserve">MAT224</t>
  </si>
  <si>
    <t xml:space="preserve">MAT225</t>
  </si>
  <si>
    <t xml:space="preserve">note de synthèse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</si>
</sst>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sz val="11"/>
      <color theme="1"/>
      <name val="Aptos Narrow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0.6640625" defaultRowHeight="13.5" zeroHeight="false" outlineLevelRow="0" outlineLevelCol="0"/>
  <cols>
    <col collapsed="false" customWidth="false" hidden="false" outlineLevel="0" max="1" min="1" style="1" width="10.66"/>
    <col collapsed="false" customWidth="true" hidden="false" outlineLevel="0" max="2" min="2" style="2" width="13.25"/>
    <col collapsed="false" customWidth="false" hidden="false" outlineLevel="0" max="3" min="3" style="1" width="10.66"/>
    <col collapsed="false" customWidth="true" hidden="false" outlineLevel="0" max="4" min="4" style="2" width="15.91"/>
    <col collapsed="false" customWidth="false" hidden="false" outlineLevel="0" max="5" min="5" style="1" width="10.66"/>
    <col collapsed="false" customWidth="false" hidden="false" outlineLevel="0" max="6" min="6" style="2" width="10.66"/>
    <col collapsed="false" customWidth="false" hidden="false" outlineLevel="0" max="7" min="7" style="1" width="10.66"/>
    <col collapsed="false" customWidth="false" hidden="false" outlineLevel="0" max="8" min="8" style="2" width="10.66"/>
    <col collapsed="false" customWidth="false" hidden="false" outlineLevel="0" max="9" min="9" style="1" width="10.66"/>
    <col collapsed="false" customWidth="true" hidden="false" outlineLevel="0" max="10" min="10" style="2" width="36"/>
    <col collapsed="false" customWidth="false" hidden="false" outlineLevel="0" max="11" min="11" style="1" width="10.66"/>
    <col collapsed="false" customWidth="true" hidden="false" outlineLevel="0" max="12" min="12" style="2" width="40"/>
    <col collapsed="false" customWidth="false" hidden="false" outlineLevel="0" max="16384" min="13" style="1" width="10.66"/>
  </cols>
  <sheetData>
    <row r="1" s="3" customFormat="true" ht="13.5" hidden="false" customHeight="true" outlineLevel="0" collapsed="false">
      <c r="A1" s="3" t="s">
        <v>0</v>
      </c>
      <c r="B1" s="4" t="s">
        <v>1</v>
      </c>
      <c r="C1" s="3" t="s">
        <v>0</v>
      </c>
      <c r="D1" s="4" t="s">
        <v>2</v>
      </c>
      <c r="E1" s="3" t="s">
        <v>0</v>
      </c>
      <c r="F1" s="4" t="s">
        <v>3</v>
      </c>
      <c r="G1" s="3" t="s">
        <v>0</v>
      </c>
      <c r="H1" s="4" t="s">
        <v>4</v>
      </c>
      <c r="I1" s="3" t="s">
        <v>0</v>
      </c>
      <c r="J1" s="4" t="s">
        <v>5</v>
      </c>
      <c r="K1" s="3" t="s">
        <v>0</v>
      </c>
      <c r="L1" s="4" t="s">
        <v>6</v>
      </c>
    </row>
    <row r="2" customFormat="false" ht="13.5" hidden="false" customHeight="true" outlineLevel="0" collapsed="false">
      <c r="A2" s="1" t="s">
        <v>7</v>
      </c>
      <c r="B2" s="2" t="s">
        <v>8</v>
      </c>
      <c r="C2" s="1" t="s">
        <v>9</v>
      </c>
      <c r="D2" s="2" t="s">
        <v>10</v>
      </c>
      <c r="E2" s="1" t="s">
        <v>11</v>
      </c>
      <c r="F2" s="5" t="s">
        <v>12</v>
      </c>
      <c r="G2" s="1" t="s">
        <v>13</v>
      </c>
      <c r="H2" s="2" t="s">
        <v>14</v>
      </c>
      <c r="I2" s="1" t="s">
        <v>15</v>
      </c>
      <c r="J2" s="2" t="s">
        <v>16</v>
      </c>
      <c r="K2" s="1" t="s">
        <v>17</v>
      </c>
      <c r="L2" s="2" t="s">
        <v>18</v>
      </c>
    </row>
    <row r="3" customFormat="false" ht="13.5" hidden="false" customHeight="true" outlineLevel="0" collapsed="false">
      <c r="A3" s="1" t="s">
        <v>19</v>
      </c>
      <c r="B3" s="2" t="s">
        <v>20</v>
      </c>
      <c r="C3" s="1" t="s">
        <v>21</v>
      </c>
      <c r="D3" s="2" t="s">
        <v>22</v>
      </c>
      <c r="E3" s="1" t="s">
        <v>23</v>
      </c>
      <c r="F3" s="5" t="s">
        <v>24</v>
      </c>
      <c r="G3" s="1" t="s">
        <v>25</v>
      </c>
      <c r="H3" s="2" t="s">
        <v>26</v>
      </c>
      <c r="I3" s="1" t="s">
        <v>27</v>
      </c>
      <c r="J3" s="2" t="s">
        <v>28</v>
      </c>
      <c r="K3" s="1" t="s">
        <v>29</v>
      </c>
      <c r="L3" s="2" t="s">
        <v>30</v>
      </c>
    </row>
    <row r="4" customFormat="false" ht="13.5" hidden="false" customHeight="true" outlineLevel="0" collapsed="false">
      <c r="A4" s="1" t="s">
        <v>31</v>
      </c>
      <c r="B4" s="2" t="s">
        <v>32</v>
      </c>
      <c r="C4" s="1" t="s">
        <v>33</v>
      </c>
      <c r="D4" s="2" t="s">
        <v>34</v>
      </c>
      <c r="E4" s="1" t="s">
        <v>35</v>
      </c>
      <c r="F4" s="5" t="s">
        <v>36</v>
      </c>
      <c r="G4" s="1" t="s">
        <v>37</v>
      </c>
      <c r="H4" s="2" t="s">
        <v>38</v>
      </c>
      <c r="I4" s="1" t="s">
        <v>39</v>
      </c>
      <c r="J4" s="2" t="s">
        <v>40</v>
      </c>
      <c r="K4" s="1" t="s">
        <v>41</v>
      </c>
      <c r="L4" s="2" t="s">
        <v>42</v>
      </c>
    </row>
    <row r="5" customFormat="false" ht="13.5" hidden="false" customHeight="true" outlineLevel="0" collapsed="false">
      <c r="A5" s="1" t="s">
        <v>43</v>
      </c>
      <c r="B5" s="2" t="s">
        <v>44</v>
      </c>
      <c r="C5" s="1" t="s">
        <v>45</v>
      </c>
      <c r="D5" s="2" t="s">
        <v>46</v>
      </c>
      <c r="E5" s="1" t="s">
        <v>47</v>
      </c>
      <c r="F5" s="5" t="s">
        <v>48</v>
      </c>
      <c r="G5" s="1" t="s">
        <v>49</v>
      </c>
      <c r="H5" s="2" t="s">
        <v>50</v>
      </c>
      <c r="I5" s="1" t="s">
        <v>51</v>
      </c>
      <c r="J5" s="2" t="s">
        <v>52</v>
      </c>
      <c r="K5" s="1" t="s">
        <v>53</v>
      </c>
      <c r="L5" s="2" t="s">
        <v>54</v>
      </c>
    </row>
    <row r="6" customFormat="false" ht="13.5" hidden="false" customHeight="true" outlineLevel="0" collapsed="false">
      <c r="A6" s="1" t="s">
        <v>55</v>
      </c>
      <c r="B6" s="2" t="s">
        <v>56</v>
      </c>
      <c r="E6" s="1" t="s">
        <v>57</v>
      </c>
      <c r="F6" s="5" t="s">
        <v>58</v>
      </c>
      <c r="G6" s="1" t="s">
        <v>59</v>
      </c>
      <c r="H6" s="2" t="s">
        <v>60</v>
      </c>
      <c r="I6" s="1" t="s">
        <v>61</v>
      </c>
      <c r="J6" s="2" t="s">
        <v>62</v>
      </c>
      <c r="K6" s="1" t="s">
        <v>63</v>
      </c>
      <c r="L6" s="2" t="s">
        <v>64</v>
      </c>
    </row>
    <row r="7" customFormat="false" ht="13.5" hidden="false" customHeight="true" outlineLevel="0" collapsed="false">
      <c r="E7" s="1" t="s">
        <v>65</v>
      </c>
      <c r="F7" s="5" t="s">
        <v>66</v>
      </c>
      <c r="G7" s="1" t="s">
        <v>67</v>
      </c>
      <c r="H7" s="2" t="s">
        <v>68</v>
      </c>
      <c r="I7" s="1" t="s">
        <v>69</v>
      </c>
      <c r="J7" s="2" t="s">
        <v>70</v>
      </c>
      <c r="K7" s="1" t="s">
        <v>71</v>
      </c>
      <c r="L7" s="2" t="s">
        <v>72</v>
      </c>
    </row>
    <row r="8" customFormat="false" ht="13.5" hidden="false" customHeight="true" outlineLevel="0" collapsed="false">
      <c r="E8" s="1" t="s">
        <v>73</v>
      </c>
      <c r="F8" s="5" t="s">
        <v>74</v>
      </c>
      <c r="G8" s="1" t="s">
        <v>75</v>
      </c>
      <c r="H8" s="2" t="s">
        <v>76</v>
      </c>
      <c r="I8" s="1" t="s">
        <v>77</v>
      </c>
      <c r="J8" s="2" t="s">
        <v>78</v>
      </c>
      <c r="K8" s="1" t="s">
        <v>79</v>
      </c>
      <c r="L8" s="2" t="s">
        <v>80</v>
      </c>
    </row>
    <row r="9" customFormat="false" ht="13.5" hidden="false" customHeight="true" outlineLevel="0" collapsed="false">
      <c r="E9" s="1" t="s">
        <v>81</v>
      </c>
      <c r="F9" s="5" t="s">
        <v>82</v>
      </c>
      <c r="G9" s="1" t="s">
        <v>83</v>
      </c>
      <c r="H9" s="2" t="s">
        <v>84</v>
      </c>
      <c r="I9" s="1" t="s">
        <v>85</v>
      </c>
      <c r="J9" s="2" t="s">
        <v>86</v>
      </c>
      <c r="K9" s="1" t="s">
        <v>87</v>
      </c>
      <c r="L9" s="2" t="s">
        <v>88</v>
      </c>
    </row>
    <row r="10" customFormat="false" ht="13.5" hidden="false" customHeight="true" outlineLevel="0" collapsed="false">
      <c r="E10" s="1" t="s">
        <v>89</v>
      </c>
      <c r="F10" s="5" t="s">
        <v>90</v>
      </c>
      <c r="G10" s="1" t="s">
        <v>91</v>
      </c>
      <c r="H10" s="2" t="s">
        <v>92</v>
      </c>
      <c r="I10" s="1" t="s">
        <v>93</v>
      </c>
      <c r="J10" s="2" t="s">
        <v>94</v>
      </c>
      <c r="K10" s="1" t="s">
        <v>95</v>
      </c>
      <c r="L10" s="2" t="s">
        <v>96</v>
      </c>
    </row>
    <row r="11" customFormat="false" ht="13.5" hidden="false" customHeight="true" outlineLevel="0" collapsed="false">
      <c r="E11" s="1" t="s">
        <v>97</v>
      </c>
      <c r="F11" s="5" t="s">
        <v>98</v>
      </c>
      <c r="G11" s="1" t="s">
        <v>99</v>
      </c>
      <c r="H11" s="2" t="s">
        <v>100</v>
      </c>
      <c r="I11" s="1" t="s">
        <v>101</v>
      </c>
      <c r="J11" s="2" t="s">
        <v>102</v>
      </c>
      <c r="K11" s="1" t="s">
        <v>103</v>
      </c>
      <c r="L11" s="2" t="s">
        <v>104</v>
      </c>
    </row>
    <row r="12" customFormat="false" ht="13.5" hidden="false" customHeight="true" outlineLevel="0" collapsed="false">
      <c r="E12" s="1" t="s">
        <v>105</v>
      </c>
      <c r="F12" s="5" t="s">
        <v>106</v>
      </c>
      <c r="G12" s="1" t="s">
        <v>107</v>
      </c>
      <c r="H12" s="2" t="s">
        <v>108</v>
      </c>
      <c r="I12" s="1" t="s">
        <v>109</v>
      </c>
      <c r="J12" s="2" t="s">
        <v>110</v>
      </c>
      <c r="K12" s="1" t="s">
        <v>111</v>
      </c>
      <c r="L12" s="2" t="s">
        <v>112</v>
      </c>
    </row>
    <row r="13" customFormat="false" ht="13.5" hidden="false" customHeight="true" outlineLevel="0" collapsed="false">
      <c r="E13" s="1" t="s">
        <v>113</v>
      </c>
      <c r="F13" s="5" t="s">
        <v>114</v>
      </c>
      <c r="G13" s="1" t="s">
        <v>115</v>
      </c>
      <c r="H13" s="2" t="s">
        <v>116</v>
      </c>
      <c r="I13" s="1" t="s">
        <v>117</v>
      </c>
      <c r="J13" s="2" t="s">
        <v>118</v>
      </c>
      <c r="K13" s="1" t="s">
        <v>119</v>
      </c>
      <c r="L13" s="2" t="s">
        <v>120</v>
      </c>
    </row>
    <row r="14" customFormat="false" ht="13.5" hidden="false" customHeight="true" outlineLevel="0" collapsed="false">
      <c r="E14" s="1" t="s">
        <v>121</v>
      </c>
      <c r="F14" s="5" t="s">
        <v>122</v>
      </c>
      <c r="I14" s="1" t="s">
        <v>123</v>
      </c>
      <c r="J14" s="2" t="s">
        <v>124</v>
      </c>
      <c r="K14" s="1" t="s">
        <v>125</v>
      </c>
      <c r="L14" s="2" t="s">
        <v>126</v>
      </c>
    </row>
    <row r="15" customFormat="false" ht="13.5" hidden="false" customHeight="true" outlineLevel="0" collapsed="false">
      <c r="E15" s="1" t="s">
        <v>127</v>
      </c>
      <c r="F15" s="5" t="s">
        <v>128</v>
      </c>
      <c r="I15" s="1" t="s">
        <v>129</v>
      </c>
      <c r="J15" s="2" t="s">
        <v>130</v>
      </c>
      <c r="K15" s="1" t="s">
        <v>131</v>
      </c>
      <c r="L15" s="2" t="s">
        <v>132</v>
      </c>
    </row>
    <row r="16" customFormat="false" ht="13.5" hidden="false" customHeight="true" outlineLevel="0" collapsed="false">
      <c r="E16" s="1" t="s">
        <v>133</v>
      </c>
      <c r="F16" s="5" t="s">
        <v>134</v>
      </c>
      <c r="I16" s="1" t="s">
        <v>135</v>
      </c>
      <c r="J16" s="2" t="s">
        <v>136</v>
      </c>
      <c r="K16" s="1" t="s">
        <v>137</v>
      </c>
      <c r="L16" s="2" t="s">
        <v>138</v>
      </c>
    </row>
    <row r="17" customFormat="false" ht="13.5" hidden="false" customHeight="true" outlineLevel="0" collapsed="false">
      <c r="E17" s="1" t="s">
        <v>139</v>
      </c>
      <c r="F17" s="5" t="s">
        <v>140</v>
      </c>
      <c r="I17" s="1" t="s">
        <v>141</v>
      </c>
      <c r="J17" s="2" t="s">
        <v>142</v>
      </c>
      <c r="K17" s="1" t="s">
        <v>143</v>
      </c>
      <c r="L17" s="2" t="s">
        <v>144</v>
      </c>
    </row>
    <row r="18" customFormat="false" ht="13.5" hidden="false" customHeight="true" outlineLevel="0" collapsed="false">
      <c r="E18" s="1" t="s">
        <v>145</v>
      </c>
      <c r="F18" s="5" t="s">
        <v>146</v>
      </c>
      <c r="I18" s="1" t="s">
        <v>147</v>
      </c>
      <c r="K18" s="1" t="s">
        <v>148</v>
      </c>
      <c r="L18" s="2" t="s">
        <v>149</v>
      </c>
    </row>
    <row r="19" customFormat="false" ht="13.5" hidden="false" customHeight="true" outlineLevel="0" collapsed="false">
      <c r="E19" s="1" t="s">
        <v>150</v>
      </c>
      <c r="F19" s="5" t="s">
        <v>151</v>
      </c>
      <c r="I19" s="1" t="s">
        <v>152</v>
      </c>
      <c r="K19" s="1" t="s">
        <v>153</v>
      </c>
      <c r="L19" s="2" t="s">
        <v>154</v>
      </c>
    </row>
    <row r="20" customFormat="false" ht="13.5" hidden="false" customHeight="true" outlineLevel="0" collapsed="false">
      <c r="E20" s="1" t="s">
        <v>155</v>
      </c>
      <c r="F20" s="5" t="s">
        <v>156</v>
      </c>
      <c r="I20" s="1" t="s">
        <v>157</v>
      </c>
      <c r="K20" s="1" t="s">
        <v>158</v>
      </c>
      <c r="L20" s="2" t="s">
        <v>159</v>
      </c>
    </row>
    <row r="21" customFormat="false" ht="13.5" hidden="false" customHeight="true" outlineLevel="0" collapsed="false">
      <c r="E21" s="1" t="s">
        <v>160</v>
      </c>
      <c r="F21" s="5" t="s">
        <v>161</v>
      </c>
      <c r="I21" s="1" t="s">
        <v>162</v>
      </c>
      <c r="K21" s="1" t="s">
        <v>163</v>
      </c>
      <c r="L21" s="2" t="s">
        <v>164</v>
      </c>
    </row>
    <row r="22" customFormat="false" ht="13.5" hidden="false" customHeight="true" outlineLevel="0" collapsed="false">
      <c r="E22" s="1" t="s">
        <v>165</v>
      </c>
      <c r="F22" s="5" t="s">
        <v>166</v>
      </c>
      <c r="I22" s="1" t="s">
        <v>167</v>
      </c>
      <c r="J22" s="2" t="s">
        <v>168</v>
      </c>
      <c r="K22" s="1" t="s">
        <v>169</v>
      </c>
      <c r="L22" s="2" t="s">
        <v>170</v>
      </c>
    </row>
    <row r="23" customFormat="false" ht="13.5" hidden="false" customHeight="true" outlineLevel="0" collapsed="false">
      <c r="E23" s="1" t="s">
        <v>171</v>
      </c>
      <c r="F23" s="5" t="s">
        <v>172</v>
      </c>
      <c r="I23" s="1" t="s">
        <v>173</v>
      </c>
      <c r="J23" s="2" t="s">
        <v>174</v>
      </c>
      <c r="K23" s="1" t="s">
        <v>175</v>
      </c>
      <c r="L23" s="2" t="s">
        <v>176</v>
      </c>
    </row>
    <row r="24" customFormat="false" ht="13.5" hidden="false" customHeight="true" outlineLevel="0" collapsed="false">
      <c r="E24" s="1" t="s">
        <v>177</v>
      </c>
      <c r="F24" s="5" t="s">
        <v>178</v>
      </c>
      <c r="I24" s="1" t="s">
        <v>179</v>
      </c>
      <c r="J24" s="2" t="s">
        <v>180</v>
      </c>
      <c r="K24" s="1" t="s">
        <v>181</v>
      </c>
      <c r="L24" s="2" t="s">
        <v>182</v>
      </c>
    </row>
    <row r="25" customFormat="false" ht="13.5" hidden="false" customHeight="true" outlineLevel="0" collapsed="false">
      <c r="E25" s="1" t="s">
        <v>183</v>
      </c>
      <c r="F25" s="5" t="s">
        <v>184</v>
      </c>
      <c r="I25" s="1" t="s">
        <v>185</v>
      </c>
      <c r="J25" s="2" t="s">
        <v>186</v>
      </c>
      <c r="K25" s="1" t="s">
        <v>187</v>
      </c>
      <c r="L25" s="2" t="s">
        <v>188</v>
      </c>
    </row>
    <row r="26" customFormat="false" ht="13.5" hidden="false" customHeight="true" outlineLevel="0" collapsed="false">
      <c r="E26" s="1" t="s">
        <v>189</v>
      </c>
      <c r="F26" s="5" t="s">
        <v>190</v>
      </c>
      <c r="I26" s="1" t="s">
        <v>191</v>
      </c>
      <c r="J26" s="2" t="s">
        <v>192</v>
      </c>
      <c r="K26" s="1" t="s">
        <v>193</v>
      </c>
      <c r="L26" s="2" t="s">
        <v>194</v>
      </c>
    </row>
    <row r="27" customFormat="false" ht="13.5" hidden="false" customHeight="true" outlineLevel="0" collapsed="false">
      <c r="E27" s="1" t="s">
        <v>195</v>
      </c>
      <c r="F27" s="5" t="s">
        <v>196</v>
      </c>
      <c r="I27" s="1" t="s">
        <v>197</v>
      </c>
      <c r="J27" s="2" t="s">
        <v>198</v>
      </c>
      <c r="K27" s="1" t="s">
        <v>199</v>
      </c>
      <c r="L27" s="2" t="s">
        <v>200</v>
      </c>
    </row>
    <row r="28" customFormat="false" ht="13.5" hidden="false" customHeight="true" outlineLevel="0" collapsed="false">
      <c r="E28" s="1" t="s">
        <v>201</v>
      </c>
      <c r="F28" s="5" t="s">
        <v>202</v>
      </c>
      <c r="I28" s="1" t="s">
        <v>203</v>
      </c>
      <c r="J28" s="2" t="s">
        <v>204</v>
      </c>
      <c r="K28" s="1" t="s">
        <v>205</v>
      </c>
      <c r="L28" s="2" t="s">
        <v>206</v>
      </c>
    </row>
    <row r="29" customFormat="false" ht="13.5" hidden="false" customHeight="true" outlineLevel="0" collapsed="false">
      <c r="E29" s="1" t="s">
        <v>207</v>
      </c>
      <c r="F29" s="5" t="s">
        <v>208</v>
      </c>
      <c r="I29" s="1" t="s">
        <v>209</v>
      </c>
      <c r="J29" s="2" t="s">
        <v>210</v>
      </c>
      <c r="K29" s="1" t="s">
        <v>211</v>
      </c>
      <c r="L29" s="2" t="s">
        <v>212</v>
      </c>
    </row>
    <row r="30" customFormat="false" ht="13.5" hidden="false" customHeight="true" outlineLevel="0" collapsed="false">
      <c r="E30" s="1" t="s">
        <v>213</v>
      </c>
      <c r="F30" s="5" t="s">
        <v>214</v>
      </c>
      <c r="I30" s="1" t="s">
        <v>215</v>
      </c>
      <c r="J30" s="2" t="s">
        <v>216</v>
      </c>
      <c r="K30" s="1" t="s">
        <v>217</v>
      </c>
      <c r="L30" s="2" t="s">
        <v>218</v>
      </c>
    </row>
    <row r="31" customFormat="false" ht="13.5" hidden="false" customHeight="true" outlineLevel="0" collapsed="false">
      <c r="E31" s="1" t="s">
        <v>219</v>
      </c>
      <c r="F31" s="5" t="s">
        <v>220</v>
      </c>
      <c r="I31" s="1" t="s">
        <v>221</v>
      </c>
      <c r="J31" s="2" t="s">
        <v>222</v>
      </c>
      <c r="K31" s="1" t="s">
        <v>223</v>
      </c>
      <c r="L31" s="2" t="s">
        <v>224</v>
      </c>
    </row>
    <row r="32" customFormat="false" ht="13.5" hidden="false" customHeight="true" outlineLevel="0" collapsed="false">
      <c r="E32" s="1" t="s">
        <v>225</v>
      </c>
      <c r="F32" s="5" t="s">
        <v>226</v>
      </c>
      <c r="I32" s="1" t="s">
        <v>227</v>
      </c>
      <c r="J32" s="2" t="s">
        <v>228</v>
      </c>
      <c r="K32" s="1" t="s">
        <v>229</v>
      </c>
      <c r="L32" s="2" t="s">
        <v>230</v>
      </c>
    </row>
    <row r="33" customFormat="false" ht="13.5" hidden="false" customHeight="true" outlineLevel="0" collapsed="false">
      <c r="E33" s="1" t="s">
        <v>231</v>
      </c>
      <c r="F33" s="5" t="s">
        <v>232</v>
      </c>
      <c r="I33" s="1" t="s">
        <v>233</v>
      </c>
      <c r="J33" s="2" t="s">
        <v>234</v>
      </c>
      <c r="K33" s="1" t="s">
        <v>235</v>
      </c>
      <c r="L33" s="2" t="s">
        <v>236</v>
      </c>
    </row>
    <row r="34" customFormat="false" ht="13.5" hidden="false" customHeight="true" outlineLevel="0" collapsed="false">
      <c r="E34" s="1" t="s">
        <v>237</v>
      </c>
      <c r="F34" s="5" t="s">
        <v>238</v>
      </c>
      <c r="I34" s="1" t="s">
        <v>239</v>
      </c>
      <c r="J34" s="2" t="s">
        <v>240</v>
      </c>
      <c r="K34" s="1" t="s">
        <v>241</v>
      </c>
      <c r="L34" s="2" t="s">
        <v>242</v>
      </c>
    </row>
    <row r="35" customFormat="false" ht="13.5" hidden="false" customHeight="true" outlineLevel="0" collapsed="false">
      <c r="E35" s="1" t="s">
        <v>243</v>
      </c>
      <c r="F35" s="5" t="s">
        <v>240</v>
      </c>
      <c r="I35" s="1" t="s">
        <v>244</v>
      </c>
      <c r="J35" s="2" t="s">
        <v>245</v>
      </c>
      <c r="K35" s="1" t="s">
        <v>246</v>
      </c>
      <c r="L35" s="2" t="s">
        <v>247</v>
      </c>
    </row>
    <row r="36" customFormat="false" ht="13.5" hidden="false" customHeight="true" outlineLevel="0" collapsed="false">
      <c r="E36" s="1" t="s">
        <v>248</v>
      </c>
      <c r="F36" s="5" t="s">
        <v>249</v>
      </c>
      <c r="I36" s="1" t="s">
        <v>250</v>
      </c>
      <c r="J36" s="2" t="s">
        <v>251</v>
      </c>
      <c r="K36" s="1" t="s">
        <v>252</v>
      </c>
      <c r="L36" s="2" t="s">
        <v>253</v>
      </c>
    </row>
    <row r="37" customFormat="false" ht="13.5" hidden="false" customHeight="true" outlineLevel="0" collapsed="false">
      <c r="E37" s="1" t="s">
        <v>254</v>
      </c>
      <c r="F37" s="5" t="s">
        <v>255</v>
      </c>
      <c r="I37" s="1" t="s">
        <v>256</v>
      </c>
      <c r="J37" s="2" t="s">
        <v>257</v>
      </c>
      <c r="K37" s="1" t="s">
        <v>258</v>
      </c>
      <c r="L37" s="2" t="s">
        <v>259</v>
      </c>
    </row>
    <row r="38" customFormat="false" ht="13.5" hidden="false" customHeight="true" outlineLevel="0" collapsed="false">
      <c r="I38" s="1" t="s">
        <v>260</v>
      </c>
      <c r="J38" s="2" t="s">
        <v>261</v>
      </c>
      <c r="K38" s="1" t="s">
        <v>262</v>
      </c>
      <c r="L38" s="2" t="s">
        <v>263</v>
      </c>
    </row>
    <row r="39" customFormat="false" ht="13.5" hidden="false" customHeight="true" outlineLevel="0" collapsed="false">
      <c r="I39" s="1" t="s">
        <v>264</v>
      </c>
      <c r="J39" s="2" t="s">
        <v>265</v>
      </c>
      <c r="K39" s="1" t="s">
        <v>266</v>
      </c>
      <c r="L39" s="2" t="s">
        <v>267</v>
      </c>
    </row>
    <row r="40" customFormat="false" ht="13.5" hidden="false" customHeight="true" outlineLevel="0" collapsed="false">
      <c r="I40" s="1" t="s">
        <v>268</v>
      </c>
      <c r="J40" s="2" t="s">
        <v>269</v>
      </c>
      <c r="K40" s="1" t="s">
        <v>270</v>
      </c>
      <c r="L40" s="2" t="s">
        <v>271</v>
      </c>
    </row>
    <row r="41" customFormat="false" ht="13.5" hidden="false" customHeight="true" outlineLevel="0" collapsed="false">
      <c r="I41" s="1" t="s">
        <v>272</v>
      </c>
      <c r="J41" s="2" t="s">
        <v>273</v>
      </c>
      <c r="K41" s="1" t="s">
        <v>274</v>
      </c>
      <c r="L41" s="2" t="s">
        <v>275</v>
      </c>
    </row>
    <row r="42" customFormat="false" ht="13.5" hidden="false" customHeight="true" outlineLevel="0" collapsed="false">
      <c r="I42" s="1" t="s">
        <v>276</v>
      </c>
      <c r="J42" s="2" t="s">
        <v>277</v>
      </c>
      <c r="K42" s="1" t="s">
        <v>278</v>
      </c>
      <c r="L42" s="2" t="s">
        <v>279</v>
      </c>
    </row>
    <row r="43" customFormat="false" ht="13.5" hidden="false" customHeight="true" outlineLevel="0" collapsed="false">
      <c r="I43" s="1" t="s">
        <v>280</v>
      </c>
      <c r="J43" s="2" t="s">
        <v>281</v>
      </c>
      <c r="K43" s="1" t="s">
        <v>282</v>
      </c>
      <c r="L43" s="2" t="s">
        <v>283</v>
      </c>
    </row>
    <row r="44" customFormat="false" ht="13.5" hidden="false" customHeight="true" outlineLevel="0" collapsed="false">
      <c r="I44" s="1" t="s">
        <v>284</v>
      </c>
      <c r="J44" s="2" t="s">
        <v>285</v>
      </c>
      <c r="K44" s="1" t="s">
        <v>286</v>
      </c>
      <c r="L44" s="2" t="s">
        <v>287</v>
      </c>
    </row>
    <row r="45" customFormat="false" ht="13.5" hidden="false" customHeight="true" outlineLevel="0" collapsed="false">
      <c r="I45" s="1" t="s">
        <v>288</v>
      </c>
      <c r="J45" s="2" t="s">
        <v>289</v>
      </c>
      <c r="K45" s="1" t="s">
        <v>290</v>
      </c>
      <c r="L45" s="2" t="s">
        <v>291</v>
      </c>
    </row>
    <row r="46" customFormat="false" ht="13.5" hidden="false" customHeight="true" outlineLevel="0" collapsed="false">
      <c r="I46" s="1" t="s">
        <v>292</v>
      </c>
      <c r="J46" s="2" t="s">
        <v>293</v>
      </c>
      <c r="K46" s="1" t="s">
        <v>294</v>
      </c>
      <c r="L46" s="2" t="s">
        <v>295</v>
      </c>
    </row>
    <row r="47" customFormat="false" ht="13.5" hidden="false" customHeight="true" outlineLevel="0" collapsed="false">
      <c r="I47" s="1" t="s">
        <v>296</v>
      </c>
      <c r="J47" s="2" t="s">
        <v>297</v>
      </c>
      <c r="K47" s="1" t="s">
        <v>298</v>
      </c>
      <c r="L47" s="2" t="s">
        <v>299</v>
      </c>
    </row>
    <row r="48" customFormat="false" ht="13.5" hidden="false" customHeight="true" outlineLevel="0" collapsed="false">
      <c r="I48" s="1" t="s">
        <v>300</v>
      </c>
      <c r="J48" s="2" t="s">
        <v>301</v>
      </c>
      <c r="K48" s="1" t="s">
        <v>302</v>
      </c>
      <c r="L48" s="2" t="s">
        <v>303</v>
      </c>
    </row>
    <row r="49" customFormat="false" ht="13.5" hidden="false" customHeight="true" outlineLevel="0" collapsed="false">
      <c r="I49" s="1" t="s">
        <v>304</v>
      </c>
      <c r="J49" s="2" t="s">
        <v>305</v>
      </c>
      <c r="K49" s="1" t="s">
        <v>306</v>
      </c>
      <c r="L49" s="2" t="s">
        <v>307</v>
      </c>
    </row>
    <row r="50" customFormat="false" ht="13.5" hidden="false" customHeight="true" outlineLevel="0" collapsed="false">
      <c r="I50" s="1" t="s">
        <v>308</v>
      </c>
      <c r="J50" s="2" t="s">
        <v>309</v>
      </c>
      <c r="K50" s="1" t="s">
        <v>310</v>
      </c>
      <c r="L50" s="2" t="s">
        <v>311</v>
      </c>
    </row>
    <row r="51" customFormat="false" ht="13.5" hidden="false" customHeight="true" outlineLevel="0" collapsed="false">
      <c r="I51" s="1" t="s">
        <v>312</v>
      </c>
      <c r="J51" s="2" t="s">
        <v>313</v>
      </c>
      <c r="K51" s="1" t="s">
        <v>314</v>
      </c>
      <c r="L51" s="2" t="s">
        <v>315</v>
      </c>
    </row>
    <row r="52" customFormat="false" ht="13.5" hidden="false" customHeight="true" outlineLevel="0" collapsed="false">
      <c r="I52" s="1" t="s">
        <v>316</v>
      </c>
      <c r="J52" s="2" t="s">
        <v>317</v>
      </c>
      <c r="K52" s="1" t="s">
        <v>318</v>
      </c>
      <c r="L52" s="2" t="s">
        <v>319</v>
      </c>
    </row>
    <row r="53" customFormat="false" ht="13.5" hidden="false" customHeight="true" outlineLevel="0" collapsed="false">
      <c r="I53" s="1" t="s">
        <v>320</v>
      </c>
      <c r="J53" s="2" t="s">
        <v>321</v>
      </c>
      <c r="K53" s="1" t="s">
        <v>322</v>
      </c>
      <c r="L53" s="2" t="s">
        <v>323</v>
      </c>
    </row>
    <row r="54" customFormat="false" ht="13.5" hidden="false" customHeight="true" outlineLevel="0" collapsed="false">
      <c r="I54" s="1" t="s">
        <v>324</v>
      </c>
      <c r="J54" s="2" t="s">
        <v>325</v>
      </c>
      <c r="K54" s="1" t="s">
        <v>326</v>
      </c>
      <c r="L54" s="2" t="s">
        <v>327</v>
      </c>
    </row>
    <row r="55" customFormat="false" ht="13.5" hidden="false" customHeight="true" outlineLevel="0" collapsed="false">
      <c r="I55" s="1" t="s">
        <v>328</v>
      </c>
      <c r="J55" s="2" t="s">
        <v>329</v>
      </c>
      <c r="K55" s="1" t="s">
        <v>330</v>
      </c>
      <c r="L55" s="2" t="s">
        <v>331</v>
      </c>
    </row>
    <row r="56" customFormat="false" ht="13.5" hidden="false" customHeight="true" outlineLevel="0" collapsed="false">
      <c r="I56" s="1" t="s">
        <v>332</v>
      </c>
      <c r="J56" s="2" t="s">
        <v>30</v>
      </c>
      <c r="K56" s="1" t="s">
        <v>333</v>
      </c>
      <c r="L56" s="2" t="s">
        <v>334</v>
      </c>
    </row>
    <row r="57" customFormat="false" ht="13.5" hidden="false" customHeight="true" outlineLevel="0" collapsed="false">
      <c r="I57" s="1" t="s">
        <v>335</v>
      </c>
      <c r="J57" s="2" t="s">
        <v>287</v>
      </c>
      <c r="K57" s="1" t="s">
        <v>336</v>
      </c>
      <c r="L57" s="2" t="s">
        <v>337</v>
      </c>
    </row>
    <row r="58" customFormat="false" ht="13.5" hidden="false" customHeight="true" outlineLevel="0" collapsed="false">
      <c r="I58" s="1" t="s">
        <v>338</v>
      </c>
      <c r="J58" s="2" t="s">
        <v>339</v>
      </c>
      <c r="K58" s="1" t="s">
        <v>340</v>
      </c>
      <c r="L58" s="2" t="s">
        <v>341</v>
      </c>
    </row>
    <row r="59" customFormat="false" ht="13.5" hidden="false" customHeight="true" outlineLevel="0" collapsed="false">
      <c r="I59" s="1" t="s">
        <v>342</v>
      </c>
      <c r="J59" s="2" t="s">
        <v>343</v>
      </c>
      <c r="K59" s="1" t="s">
        <v>344</v>
      </c>
      <c r="L59" s="2" t="s">
        <v>345</v>
      </c>
    </row>
    <row r="60" customFormat="false" ht="13.5" hidden="false" customHeight="true" outlineLevel="0" collapsed="false">
      <c r="I60" s="1" t="s">
        <v>346</v>
      </c>
      <c r="J60" s="2" t="s">
        <v>347</v>
      </c>
      <c r="K60" s="1" t="s">
        <v>348</v>
      </c>
      <c r="L60" s="2" t="s">
        <v>349</v>
      </c>
    </row>
    <row r="61" customFormat="false" ht="13.5" hidden="false" customHeight="true" outlineLevel="0" collapsed="false">
      <c r="I61" s="1" t="s">
        <v>350</v>
      </c>
      <c r="J61" s="2" t="s">
        <v>351</v>
      </c>
      <c r="K61" s="1" t="s">
        <v>352</v>
      </c>
      <c r="L61" s="2" t="s">
        <v>353</v>
      </c>
    </row>
    <row r="62" customFormat="false" ht="13.5" hidden="false" customHeight="true" outlineLevel="0" collapsed="false">
      <c r="I62" s="1" t="s">
        <v>354</v>
      </c>
      <c r="J62" s="2" t="s">
        <v>355</v>
      </c>
      <c r="K62" s="1" t="s">
        <v>356</v>
      </c>
      <c r="L62" s="2" t="s">
        <v>357</v>
      </c>
    </row>
    <row r="63" customFormat="false" ht="13.5" hidden="false" customHeight="true" outlineLevel="0" collapsed="false">
      <c r="I63" s="1" t="s">
        <v>358</v>
      </c>
      <c r="J63" s="2" t="s">
        <v>359</v>
      </c>
      <c r="K63" s="1" t="s">
        <v>360</v>
      </c>
      <c r="L63" s="2" t="s">
        <v>361</v>
      </c>
    </row>
    <row r="64" customFormat="false" ht="13.5" hidden="false" customHeight="true" outlineLevel="0" collapsed="false">
      <c r="I64" s="1" t="s">
        <v>362</v>
      </c>
      <c r="J64" s="2" t="s">
        <v>363</v>
      </c>
      <c r="K64" s="1" t="s">
        <v>364</v>
      </c>
      <c r="L64" s="2" t="s">
        <v>365</v>
      </c>
    </row>
    <row r="65" customFormat="false" ht="13.5" hidden="false" customHeight="true" outlineLevel="0" collapsed="false">
      <c r="I65" s="1" t="s">
        <v>366</v>
      </c>
      <c r="J65" s="2" t="s">
        <v>367</v>
      </c>
      <c r="K65" s="1" t="s">
        <v>368</v>
      </c>
      <c r="L65" s="2" t="s">
        <v>369</v>
      </c>
    </row>
    <row r="66" customFormat="false" ht="13.5" hidden="false" customHeight="true" outlineLevel="0" collapsed="false">
      <c r="I66" s="1" t="s">
        <v>370</v>
      </c>
      <c r="J66" s="2" t="s">
        <v>371</v>
      </c>
      <c r="K66" s="1" t="s">
        <v>372</v>
      </c>
      <c r="L66" s="2" t="s">
        <v>373</v>
      </c>
    </row>
    <row r="67" customFormat="false" ht="13.5" hidden="false" customHeight="true" outlineLevel="0" collapsed="false">
      <c r="I67" s="1" t="s">
        <v>374</v>
      </c>
      <c r="J67" s="2" t="s">
        <v>375</v>
      </c>
      <c r="K67" s="1" t="s">
        <v>376</v>
      </c>
      <c r="L67" s="2" t="s">
        <v>377</v>
      </c>
    </row>
    <row r="68" customFormat="false" ht="13.5" hidden="false" customHeight="true" outlineLevel="0" collapsed="false">
      <c r="I68" s="1" t="s">
        <v>378</v>
      </c>
      <c r="J68" s="2" t="s">
        <v>379</v>
      </c>
      <c r="K68" s="1" t="s">
        <v>380</v>
      </c>
      <c r="L68" s="2" t="s">
        <v>381</v>
      </c>
    </row>
    <row r="69" customFormat="false" ht="13.5" hidden="false" customHeight="true" outlineLevel="0" collapsed="false">
      <c r="I69" s="1" t="s">
        <v>382</v>
      </c>
      <c r="J69" s="2" t="s">
        <v>259</v>
      </c>
      <c r="K69" s="1" t="s">
        <v>383</v>
      </c>
      <c r="L69" s="2" t="s">
        <v>384</v>
      </c>
    </row>
    <row r="70" customFormat="false" ht="13.5" hidden="false" customHeight="true" outlineLevel="0" collapsed="false">
      <c r="I70" s="1" t="s">
        <v>385</v>
      </c>
      <c r="J70" s="2" t="s">
        <v>386</v>
      </c>
      <c r="K70" s="1" t="s">
        <v>387</v>
      </c>
      <c r="L70" s="2" t="s">
        <v>388</v>
      </c>
    </row>
    <row r="71" customFormat="false" ht="13.5" hidden="false" customHeight="true" outlineLevel="0" collapsed="false">
      <c r="I71" s="1" t="s">
        <v>389</v>
      </c>
      <c r="J71" s="2" t="s">
        <v>390</v>
      </c>
      <c r="K71" s="1" t="s">
        <v>391</v>
      </c>
      <c r="L71" s="2" t="s">
        <v>392</v>
      </c>
    </row>
    <row r="72" customFormat="false" ht="13.5" hidden="false" customHeight="true" outlineLevel="0" collapsed="false">
      <c r="I72" s="1" t="s">
        <v>393</v>
      </c>
      <c r="J72" s="2" t="s">
        <v>394</v>
      </c>
      <c r="K72" s="1" t="s">
        <v>395</v>
      </c>
      <c r="L72" s="2" t="s">
        <v>396</v>
      </c>
    </row>
    <row r="73" customFormat="false" ht="13.5" hidden="false" customHeight="true" outlineLevel="0" collapsed="false">
      <c r="I73" s="1" t="s">
        <v>397</v>
      </c>
      <c r="J73" s="2" t="s">
        <v>398</v>
      </c>
      <c r="K73" s="1" t="s">
        <v>399</v>
      </c>
      <c r="L73" s="2" t="s">
        <v>400</v>
      </c>
    </row>
    <row r="74" customFormat="false" ht="13.5" hidden="false" customHeight="true" outlineLevel="0" collapsed="false">
      <c r="I74" s="1" t="s">
        <v>401</v>
      </c>
      <c r="J74" s="2" t="s">
        <v>402</v>
      </c>
      <c r="K74" s="1" t="s">
        <v>403</v>
      </c>
      <c r="L74" s="2" t="s">
        <v>404</v>
      </c>
    </row>
    <row r="75" customFormat="false" ht="13.5" hidden="false" customHeight="true" outlineLevel="0" collapsed="false">
      <c r="I75" s="1" t="s">
        <v>405</v>
      </c>
      <c r="J75" s="2" t="s">
        <v>406</v>
      </c>
      <c r="K75" s="1" t="s">
        <v>407</v>
      </c>
      <c r="L75" s="2" t="s">
        <v>408</v>
      </c>
    </row>
    <row r="76" customFormat="false" ht="13.5" hidden="false" customHeight="true" outlineLevel="0" collapsed="false">
      <c r="I76" s="1" t="s">
        <v>409</v>
      </c>
      <c r="J76" s="2" t="s">
        <v>410</v>
      </c>
      <c r="K76" s="1" t="s">
        <v>411</v>
      </c>
      <c r="L76" s="2" t="s">
        <v>412</v>
      </c>
    </row>
    <row r="77" customFormat="false" ht="13.5" hidden="false" customHeight="true" outlineLevel="0" collapsed="false">
      <c r="I77" s="1" t="s">
        <v>413</v>
      </c>
      <c r="J77" s="2" t="s">
        <v>414</v>
      </c>
      <c r="K77" s="1" t="s">
        <v>415</v>
      </c>
      <c r="L77" s="2" t="s">
        <v>416</v>
      </c>
    </row>
    <row r="78" customFormat="false" ht="13.5" hidden="false" customHeight="true" outlineLevel="0" collapsed="false">
      <c r="I78" s="1" t="s">
        <v>417</v>
      </c>
      <c r="J78" s="2" t="s">
        <v>418</v>
      </c>
      <c r="K78" s="1" t="s">
        <v>419</v>
      </c>
      <c r="L78" s="2" t="s">
        <v>420</v>
      </c>
    </row>
    <row r="79" customFormat="false" ht="13.5" hidden="false" customHeight="true" outlineLevel="0" collapsed="false">
      <c r="I79" s="1" t="s">
        <v>421</v>
      </c>
      <c r="J79" s="2" t="s">
        <v>422</v>
      </c>
      <c r="K79" s="1" t="s">
        <v>423</v>
      </c>
      <c r="L79" s="2" t="s">
        <v>424</v>
      </c>
    </row>
    <row r="80" customFormat="false" ht="13.5" hidden="false" customHeight="true" outlineLevel="0" collapsed="false">
      <c r="I80" s="1" t="s">
        <v>425</v>
      </c>
      <c r="J80" s="2" t="s">
        <v>426</v>
      </c>
      <c r="K80" s="1" t="s">
        <v>427</v>
      </c>
      <c r="L80" s="2" t="s">
        <v>428</v>
      </c>
    </row>
    <row r="81" customFormat="false" ht="13.5" hidden="false" customHeight="true" outlineLevel="0" collapsed="false">
      <c r="I81" s="1" t="s">
        <v>429</v>
      </c>
      <c r="J81" s="2" t="s">
        <v>430</v>
      </c>
      <c r="K81" s="1" t="s">
        <v>431</v>
      </c>
      <c r="L81" s="2" t="s">
        <v>432</v>
      </c>
    </row>
    <row r="82" customFormat="false" ht="13.5" hidden="false" customHeight="true" outlineLevel="0" collapsed="false">
      <c r="I82" s="1" t="s">
        <v>433</v>
      </c>
      <c r="J82" s="2" t="s">
        <v>80</v>
      </c>
      <c r="K82" s="1" t="s">
        <v>434</v>
      </c>
      <c r="L82" s="2" t="s">
        <v>435</v>
      </c>
    </row>
    <row r="83" customFormat="false" ht="13.5" hidden="false" customHeight="true" outlineLevel="0" collapsed="false">
      <c r="I83" s="1" t="s">
        <v>436</v>
      </c>
      <c r="J83" s="2" t="s">
        <v>437</v>
      </c>
      <c r="K83" s="1" t="s">
        <v>438</v>
      </c>
      <c r="L83" s="2" t="s">
        <v>439</v>
      </c>
    </row>
    <row r="84" customFormat="false" ht="13.5" hidden="false" customHeight="true" outlineLevel="0" collapsed="false">
      <c r="I84" s="1" t="s">
        <v>440</v>
      </c>
      <c r="J84" s="2" t="s">
        <v>212</v>
      </c>
      <c r="K84" s="1" t="s">
        <v>441</v>
      </c>
      <c r="L84" s="2" t="s">
        <v>442</v>
      </c>
    </row>
    <row r="85" customFormat="false" ht="13.5" hidden="false" customHeight="true" outlineLevel="0" collapsed="false">
      <c r="I85" s="1" t="s">
        <v>443</v>
      </c>
      <c r="J85" s="2" t="s">
        <v>263</v>
      </c>
      <c r="K85" s="1" t="s">
        <v>444</v>
      </c>
      <c r="L85" s="2" t="s">
        <v>445</v>
      </c>
    </row>
    <row r="86" customFormat="false" ht="13.5" hidden="false" customHeight="true" outlineLevel="0" collapsed="false">
      <c r="I86" s="1" t="s">
        <v>446</v>
      </c>
      <c r="J86" s="2" t="s">
        <v>447</v>
      </c>
      <c r="K86" s="1" t="s">
        <v>448</v>
      </c>
      <c r="L86" s="2" t="s">
        <v>449</v>
      </c>
    </row>
    <row r="87" customFormat="false" ht="13.5" hidden="false" customHeight="true" outlineLevel="0" collapsed="false">
      <c r="I87" s="1" t="s">
        <v>450</v>
      </c>
      <c r="J87" s="2" t="s">
        <v>451</v>
      </c>
      <c r="K87" s="1" t="s">
        <v>452</v>
      </c>
      <c r="L87" s="2" t="s">
        <v>453</v>
      </c>
    </row>
    <row r="88" customFormat="false" ht="13.5" hidden="false" customHeight="true" outlineLevel="0" collapsed="false">
      <c r="I88" s="1" t="s">
        <v>454</v>
      </c>
      <c r="J88" s="2" t="s">
        <v>455</v>
      </c>
      <c r="K88" s="1" t="s">
        <v>456</v>
      </c>
      <c r="L88" s="2" t="s">
        <v>457</v>
      </c>
    </row>
    <row r="89" customFormat="false" ht="13.5" hidden="false" customHeight="true" outlineLevel="0" collapsed="false">
      <c r="I89" s="1" t="s">
        <v>458</v>
      </c>
      <c r="J89" s="2" t="s">
        <v>271</v>
      </c>
      <c r="K89" s="1" t="s">
        <v>459</v>
      </c>
      <c r="L89" s="2" t="s">
        <v>460</v>
      </c>
    </row>
    <row r="90" customFormat="false" ht="13.5" hidden="false" customHeight="true" outlineLevel="0" collapsed="false">
      <c r="I90" s="1" t="s">
        <v>461</v>
      </c>
      <c r="J90" s="2" t="s">
        <v>462</v>
      </c>
      <c r="K90" s="1" t="s">
        <v>463</v>
      </c>
      <c r="L90" s="2" t="s">
        <v>464</v>
      </c>
    </row>
    <row r="91" customFormat="false" ht="13.5" hidden="false" customHeight="true" outlineLevel="0" collapsed="false">
      <c r="K91" s="1" t="s">
        <v>465</v>
      </c>
      <c r="L91" s="2" t="s">
        <v>466</v>
      </c>
    </row>
    <row r="92" customFormat="false" ht="13.5" hidden="false" customHeight="true" outlineLevel="0" collapsed="false">
      <c r="K92" s="1" t="s">
        <v>467</v>
      </c>
      <c r="L92" s="2" t="s">
        <v>468</v>
      </c>
    </row>
    <row r="93" customFormat="false" ht="13.5" hidden="false" customHeight="true" outlineLevel="0" collapsed="false">
      <c r="K93" s="1" t="s">
        <v>469</v>
      </c>
      <c r="L93" s="2" t="s">
        <v>470</v>
      </c>
    </row>
    <row r="94" customFormat="false" ht="13.5" hidden="false" customHeight="true" outlineLevel="0" collapsed="false">
      <c r="K94" s="1" t="s">
        <v>471</v>
      </c>
      <c r="L94" s="2" t="s">
        <v>472</v>
      </c>
    </row>
    <row r="95" customFormat="false" ht="13.5" hidden="false" customHeight="true" outlineLevel="0" collapsed="false">
      <c r="K95" s="1" t="s">
        <v>473</v>
      </c>
      <c r="L95" s="2" t="s">
        <v>474</v>
      </c>
    </row>
    <row r="96" customFormat="false" ht="13.5" hidden="false" customHeight="true" outlineLevel="0" collapsed="false">
      <c r="K96" s="1" t="s">
        <v>475</v>
      </c>
      <c r="L96" s="2" t="s">
        <v>375</v>
      </c>
    </row>
    <row r="97" customFormat="false" ht="13.5" hidden="false" customHeight="true" outlineLevel="0" collapsed="false">
      <c r="K97" s="1" t="s">
        <v>476</v>
      </c>
      <c r="L97" s="2" t="s">
        <v>477</v>
      </c>
    </row>
    <row r="98" customFormat="false" ht="13.5" hidden="false" customHeight="true" outlineLevel="0" collapsed="false">
      <c r="K98" s="1" t="s">
        <v>478</v>
      </c>
      <c r="L98" s="2" t="s">
        <v>479</v>
      </c>
    </row>
    <row r="99" customFormat="false" ht="13.5" hidden="false" customHeight="true" outlineLevel="0" collapsed="false">
      <c r="K99" s="1" t="s">
        <v>480</v>
      </c>
      <c r="L99" s="2" t="s">
        <v>481</v>
      </c>
    </row>
    <row r="100" customFormat="false" ht="13.5" hidden="false" customHeight="true" outlineLevel="0" collapsed="false">
      <c r="K100" s="1" t="s">
        <v>482</v>
      </c>
      <c r="L100" s="2" t="s">
        <v>483</v>
      </c>
    </row>
    <row r="101" customFormat="false" ht="13.5" hidden="false" customHeight="true" outlineLevel="0" collapsed="false">
      <c r="K101" s="1" t="s">
        <v>484</v>
      </c>
      <c r="L101" s="2" t="s">
        <v>485</v>
      </c>
    </row>
    <row r="102" customFormat="false" ht="13.5" hidden="false" customHeight="true" outlineLevel="0" collapsed="false">
      <c r="K102" s="1" t="s">
        <v>486</v>
      </c>
      <c r="L102" s="2" t="s">
        <v>487</v>
      </c>
    </row>
    <row r="103" customFormat="false" ht="13.5" hidden="false" customHeight="true" outlineLevel="0" collapsed="false">
      <c r="K103" s="1" t="s">
        <v>488</v>
      </c>
      <c r="L103" s="2" t="s">
        <v>489</v>
      </c>
    </row>
    <row r="104" customFormat="false" ht="13.5" hidden="false" customHeight="true" outlineLevel="0" collapsed="false">
      <c r="K104" s="1" t="s">
        <v>490</v>
      </c>
      <c r="L104" s="2" t="s">
        <v>491</v>
      </c>
    </row>
    <row r="105" customFormat="false" ht="13.5" hidden="false" customHeight="true" outlineLevel="0" collapsed="false">
      <c r="K105" s="1" t="s">
        <v>492</v>
      </c>
      <c r="L105" s="2" t="s">
        <v>493</v>
      </c>
    </row>
    <row r="106" customFormat="false" ht="13.5" hidden="false" customHeight="true" outlineLevel="0" collapsed="false">
      <c r="K106" s="1" t="s">
        <v>494</v>
      </c>
      <c r="L106" s="2" t="s">
        <v>495</v>
      </c>
    </row>
    <row r="107" customFormat="false" ht="13.5" hidden="false" customHeight="true" outlineLevel="0" collapsed="false">
      <c r="K107" s="1" t="s">
        <v>496</v>
      </c>
      <c r="L107" s="2" t="s">
        <v>497</v>
      </c>
    </row>
    <row r="108" customFormat="false" ht="13.5" hidden="false" customHeight="true" outlineLevel="0" collapsed="false">
      <c r="K108" s="1" t="s">
        <v>498</v>
      </c>
      <c r="L108" s="2" t="s">
        <v>499</v>
      </c>
    </row>
    <row r="109" customFormat="false" ht="13.5" hidden="false" customHeight="true" outlineLevel="0" collapsed="false">
      <c r="K109" s="1" t="s">
        <v>500</v>
      </c>
      <c r="L109" s="2" t="s">
        <v>501</v>
      </c>
    </row>
    <row r="110" customFormat="false" ht="13.5" hidden="false" customHeight="true" outlineLevel="0" collapsed="false">
      <c r="K110" s="1" t="s">
        <v>502</v>
      </c>
      <c r="L110" s="2" t="s">
        <v>503</v>
      </c>
    </row>
    <row r="111" customFormat="false" ht="13.5" hidden="false" customHeight="true" outlineLevel="0" collapsed="false">
      <c r="K111" s="1" t="s">
        <v>504</v>
      </c>
      <c r="L111" s="2" t="s">
        <v>505</v>
      </c>
    </row>
    <row r="112" customFormat="false" ht="13.5" hidden="false" customHeight="true" outlineLevel="0" collapsed="false">
      <c r="K112" s="1" t="s">
        <v>506</v>
      </c>
      <c r="L112" s="2" t="s">
        <v>507</v>
      </c>
    </row>
    <row r="113" customFormat="false" ht="13.5" hidden="false" customHeight="true" outlineLevel="0" collapsed="false">
      <c r="K113" s="1" t="s">
        <v>508</v>
      </c>
      <c r="L113" s="2" t="s">
        <v>509</v>
      </c>
    </row>
    <row r="114" customFormat="false" ht="13.5" hidden="false" customHeight="true" outlineLevel="0" collapsed="false">
      <c r="K114" s="1" t="s">
        <v>510</v>
      </c>
      <c r="L114" s="2" t="s">
        <v>511</v>
      </c>
    </row>
    <row r="115" customFormat="false" ht="13.5" hidden="false" customHeight="true" outlineLevel="0" collapsed="false">
      <c r="K115" s="1" t="s">
        <v>512</v>
      </c>
      <c r="L115" s="2" t="s">
        <v>513</v>
      </c>
    </row>
    <row r="116" customFormat="false" ht="13.5" hidden="false" customHeight="true" outlineLevel="0" collapsed="false">
      <c r="K116" s="1" t="s">
        <v>514</v>
      </c>
      <c r="L116" s="2" t="s">
        <v>515</v>
      </c>
    </row>
    <row r="117" customFormat="false" ht="13.5" hidden="false" customHeight="true" outlineLevel="0" collapsed="false">
      <c r="K117" s="1" t="s">
        <v>516</v>
      </c>
      <c r="L117" s="2" t="s">
        <v>517</v>
      </c>
    </row>
    <row r="118" customFormat="false" ht="13.5" hidden="false" customHeight="true" outlineLevel="0" collapsed="false">
      <c r="K118" s="1" t="s">
        <v>518</v>
      </c>
      <c r="L118" s="2" t="s">
        <v>519</v>
      </c>
    </row>
    <row r="119" customFormat="false" ht="13.5" hidden="false" customHeight="true" outlineLevel="0" collapsed="false">
      <c r="K119" s="1" t="s">
        <v>520</v>
      </c>
      <c r="L119" s="2" t="s">
        <v>521</v>
      </c>
    </row>
    <row r="120" customFormat="false" ht="13.5" hidden="false" customHeight="true" outlineLevel="0" collapsed="false">
      <c r="K120" s="1" t="s">
        <v>522</v>
      </c>
      <c r="L120" s="2" t="s">
        <v>523</v>
      </c>
    </row>
    <row r="121" customFormat="false" ht="13.5" hidden="false" customHeight="true" outlineLevel="0" collapsed="false">
      <c r="K121" s="1" t="s">
        <v>524</v>
      </c>
      <c r="L121" s="2" t="s">
        <v>525</v>
      </c>
    </row>
    <row r="122" customFormat="false" ht="13.5" hidden="false" customHeight="true" outlineLevel="0" collapsed="false">
      <c r="K122" s="1" t="s">
        <v>526</v>
      </c>
      <c r="L122" s="2" t="s">
        <v>527</v>
      </c>
    </row>
    <row r="123" customFormat="false" ht="13.5" hidden="false" customHeight="true" outlineLevel="0" collapsed="false">
      <c r="K123" s="1" t="s">
        <v>528</v>
      </c>
      <c r="L123" s="2" t="s">
        <v>529</v>
      </c>
    </row>
    <row r="124" customFormat="false" ht="13.5" hidden="false" customHeight="true" outlineLevel="0" collapsed="false">
      <c r="K124" s="1" t="s">
        <v>530</v>
      </c>
      <c r="L124" s="2" t="s">
        <v>531</v>
      </c>
    </row>
    <row r="125" customFormat="false" ht="13.5" hidden="false" customHeight="true" outlineLevel="0" collapsed="false">
      <c r="K125" s="1" t="s">
        <v>532</v>
      </c>
      <c r="L125" s="2" t="s">
        <v>533</v>
      </c>
    </row>
    <row r="126" customFormat="false" ht="13.5" hidden="false" customHeight="true" outlineLevel="0" collapsed="false">
      <c r="K126" s="1" t="s">
        <v>534</v>
      </c>
      <c r="L126" s="2" t="s">
        <v>535</v>
      </c>
    </row>
    <row r="127" customFormat="false" ht="13.5" hidden="false" customHeight="true" outlineLevel="0" collapsed="false">
      <c r="K127" s="1" t="s">
        <v>536</v>
      </c>
      <c r="L127" s="2" t="s">
        <v>537</v>
      </c>
    </row>
    <row r="128" customFormat="false" ht="13.5" hidden="false" customHeight="true" outlineLevel="0" collapsed="false">
      <c r="K128" s="1" t="s">
        <v>538</v>
      </c>
      <c r="L128" s="2" t="s">
        <v>539</v>
      </c>
    </row>
    <row r="129" customFormat="false" ht="13.5" hidden="false" customHeight="true" outlineLevel="0" collapsed="false">
      <c r="K129" s="1" t="s">
        <v>540</v>
      </c>
      <c r="L129" s="2" t="s">
        <v>541</v>
      </c>
    </row>
    <row r="130" customFormat="false" ht="13.5" hidden="false" customHeight="true" outlineLevel="0" collapsed="false">
      <c r="K130" s="1" t="s">
        <v>542</v>
      </c>
      <c r="L130" s="2" t="s">
        <v>543</v>
      </c>
    </row>
    <row r="131" customFormat="false" ht="13.5" hidden="false" customHeight="true" outlineLevel="0" collapsed="false">
      <c r="K131" s="1" t="s">
        <v>544</v>
      </c>
      <c r="L131" s="2" t="s">
        <v>545</v>
      </c>
    </row>
    <row r="132" customFormat="false" ht="13.5" hidden="false" customHeight="true" outlineLevel="0" collapsed="false">
      <c r="K132" s="1" t="s">
        <v>546</v>
      </c>
      <c r="L132" s="2" t="s">
        <v>547</v>
      </c>
    </row>
    <row r="133" customFormat="false" ht="13.5" hidden="false" customHeight="true" outlineLevel="0" collapsed="false">
      <c r="K133" s="1" t="s">
        <v>548</v>
      </c>
      <c r="L133" s="2" t="s">
        <v>549</v>
      </c>
    </row>
    <row r="134" customFormat="false" ht="13.5" hidden="false" customHeight="true" outlineLevel="0" collapsed="false">
      <c r="K134" s="1" t="s">
        <v>550</v>
      </c>
      <c r="L134" s="2" t="s">
        <v>551</v>
      </c>
    </row>
    <row r="135" customFormat="false" ht="13.5" hidden="false" customHeight="true" outlineLevel="0" collapsed="false">
      <c r="K135" s="1" t="s">
        <v>552</v>
      </c>
      <c r="L135" s="2" t="s">
        <v>309</v>
      </c>
    </row>
    <row r="136" customFormat="false" ht="13.5" hidden="false" customHeight="true" outlineLevel="0" collapsed="false">
      <c r="K136" s="1" t="s">
        <v>553</v>
      </c>
      <c r="L136" s="2" t="s">
        <v>554</v>
      </c>
    </row>
    <row r="137" customFormat="false" ht="13.5" hidden="false" customHeight="true" outlineLevel="0" collapsed="false">
      <c r="K137" s="1" t="s">
        <v>555</v>
      </c>
      <c r="L137" s="2" t="s">
        <v>556</v>
      </c>
    </row>
    <row r="138" customFormat="false" ht="13.5" hidden="false" customHeight="true" outlineLevel="0" collapsed="false">
      <c r="K138" s="1" t="s">
        <v>557</v>
      </c>
      <c r="L138" s="2" t="s">
        <v>447</v>
      </c>
    </row>
    <row r="139" customFormat="false" ht="13.5" hidden="false" customHeight="true" outlineLevel="0" collapsed="false">
      <c r="K139" s="1" t="s">
        <v>558</v>
      </c>
      <c r="L139" s="2" t="s">
        <v>559</v>
      </c>
    </row>
    <row r="140" customFormat="false" ht="13.5" hidden="false" customHeight="true" outlineLevel="0" collapsed="false">
      <c r="K140" s="1" t="s">
        <v>560</v>
      </c>
      <c r="L140" s="2" t="s">
        <v>561</v>
      </c>
    </row>
    <row r="141" customFormat="false" ht="13.5" hidden="false" customHeight="true" outlineLevel="0" collapsed="false">
      <c r="K141" s="1" t="s">
        <v>562</v>
      </c>
      <c r="L141" s="2" t="s">
        <v>563</v>
      </c>
    </row>
    <row r="142" customFormat="false" ht="13.5" hidden="false" customHeight="true" outlineLevel="0" collapsed="false">
      <c r="K142" s="1" t="s">
        <v>564</v>
      </c>
      <c r="L142" s="2" t="s">
        <v>565</v>
      </c>
    </row>
    <row r="143" customFormat="false" ht="13.5" hidden="false" customHeight="true" outlineLevel="0" collapsed="false">
      <c r="K143" s="1" t="s">
        <v>566</v>
      </c>
      <c r="L143" s="2" t="s">
        <v>567</v>
      </c>
    </row>
    <row r="144" customFormat="false" ht="13.5" hidden="false" customHeight="true" outlineLevel="0" collapsed="false">
      <c r="K144" s="1" t="s">
        <v>568</v>
      </c>
      <c r="L144" s="2" t="s">
        <v>569</v>
      </c>
    </row>
    <row r="145" customFormat="false" ht="13.5" hidden="false" customHeight="true" outlineLevel="0" collapsed="false">
      <c r="K145" s="1" t="s">
        <v>570</v>
      </c>
      <c r="L145" s="2" t="s">
        <v>571</v>
      </c>
    </row>
    <row r="146" customFormat="false" ht="13.5" hidden="false" customHeight="true" outlineLevel="0" collapsed="false">
      <c r="K146" s="1" t="s">
        <v>572</v>
      </c>
      <c r="L146" s="2" t="s">
        <v>573</v>
      </c>
    </row>
    <row r="147" customFormat="false" ht="13.5" hidden="false" customHeight="true" outlineLevel="0" collapsed="false">
      <c r="K147" s="1" t="s">
        <v>574</v>
      </c>
      <c r="L147" s="2" t="s">
        <v>575</v>
      </c>
    </row>
    <row r="148" customFormat="false" ht="13.5" hidden="false" customHeight="true" outlineLevel="0" collapsed="false">
      <c r="K148" s="1" t="s">
        <v>576</v>
      </c>
      <c r="L148" s="2" t="s">
        <v>577</v>
      </c>
    </row>
    <row r="149" customFormat="false" ht="13.5" hidden="false" customHeight="true" outlineLevel="0" collapsed="false">
      <c r="K149" s="1" t="s">
        <v>578</v>
      </c>
      <c r="L149" s="2" t="s">
        <v>579</v>
      </c>
    </row>
    <row r="150" customFormat="false" ht="13.5" hidden="false" customHeight="true" outlineLevel="0" collapsed="false">
      <c r="K150" s="1" t="s">
        <v>580</v>
      </c>
      <c r="L150" s="2" t="s">
        <v>581</v>
      </c>
    </row>
    <row r="151" customFormat="false" ht="13.5" hidden="false" customHeight="true" outlineLevel="0" collapsed="false">
      <c r="K151" s="1" t="s">
        <v>582</v>
      </c>
      <c r="L151" s="2" t="s">
        <v>583</v>
      </c>
    </row>
    <row r="152" customFormat="false" ht="13.5" hidden="false" customHeight="true" outlineLevel="0" collapsed="false">
      <c r="K152" s="1" t="s">
        <v>584</v>
      </c>
      <c r="L152" s="2" t="s">
        <v>585</v>
      </c>
    </row>
    <row r="153" customFormat="false" ht="13.5" hidden="false" customHeight="true" outlineLevel="0" collapsed="false">
      <c r="K153" s="1" t="s">
        <v>586</v>
      </c>
      <c r="L153" s="2" t="s">
        <v>587</v>
      </c>
    </row>
    <row r="154" customFormat="false" ht="13.5" hidden="false" customHeight="true" outlineLevel="0" collapsed="false">
      <c r="K154" s="1" t="s">
        <v>588</v>
      </c>
      <c r="L154" s="2" t="s">
        <v>589</v>
      </c>
    </row>
    <row r="155" customFormat="false" ht="13.5" hidden="false" customHeight="true" outlineLevel="0" collapsed="false">
      <c r="K155" s="1" t="s">
        <v>590</v>
      </c>
      <c r="L155" s="2" t="s">
        <v>591</v>
      </c>
    </row>
    <row r="156" customFormat="false" ht="13.5" hidden="false" customHeight="true" outlineLevel="0" collapsed="false">
      <c r="K156" s="1" t="s">
        <v>592</v>
      </c>
      <c r="L156" s="2" t="s">
        <v>593</v>
      </c>
    </row>
    <row r="157" customFormat="false" ht="13.5" hidden="false" customHeight="true" outlineLevel="0" collapsed="false">
      <c r="K157" s="1" t="s">
        <v>594</v>
      </c>
      <c r="L157" s="2" t="s">
        <v>595</v>
      </c>
    </row>
    <row r="158" customFormat="false" ht="13.5" hidden="false" customHeight="true" outlineLevel="0" collapsed="false">
      <c r="K158" s="1" t="s">
        <v>596</v>
      </c>
      <c r="L158" s="2" t="s">
        <v>597</v>
      </c>
    </row>
    <row r="159" customFormat="false" ht="13.5" hidden="false" customHeight="true" outlineLevel="0" collapsed="false">
      <c r="K159" s="1" t="s">
        <v>598</v>
      </c>
      <c r="L159" s="2" t="s">
        <v>599</v>
      </c>
    </row>
    <row r="160" customFormat="false" ht="13.5" hidden="false" customHeight="true" outlineLevel="0" collapsed="false">
      <c r="K160" s="1" t="s">
        <v>600</v>
      </c>
      <c r="L160" s="2" t="s">
        <v>601</v>
      </c>
    </row>
    <row r="161" customFormat="false" ht="13.5" hidden="false" customHeight="true" outlineLevel="0" collapsed="false">
      <c r="K161" s="1" t="s">
        <v>602</v>
      </c>
      <c r="L161" s="2" t="s">
        <v>603</v>
      </c>
    </row>
    <row r="162" customFormat="false" ht="13.5" hidden="false" customHeight="true" outlineLevel="0" collapsed="false">
      <c r="K162" s="1" t="s">
        <v>604</v>
      </c>
      <c r="L162" s="2" t="s">
        <v>605</v>
      </c>
    </row>
    <row r="163" customFormat="false" ht="13.5" hidden="false" customHeight="true" outlineLevel="0" collapsed="false">
      <c r="K163" s="1" t="s">
        <v>606</v>
      </c>
      <c r="L163" s="2" t="s">
        <v>607</v>
      </c>
    </row>
    <row r="164" customFormat="false" ht="13.5" hidden="false" customHeight="true" outlineLevel="0" collapsed="false">
      <c r="K164" s="1" t="s">
        <v>608</v>
      </c>
      <c r="L164" s="2" t="s">
        <v>609</v>
      </c>
    </row>
    <row r="165" customFormat="false" ht="13.5" hidden="false" customHeight="true" outlineLevel="0" collapsed="false">
      <c r="K165" s="1" t="s">
        <v>610</v>
      </c>
      <c r="L165" s="2" t="s">
        <v>611</v>
      </c>
    </row>
    <row r="166" customFormat="false" ht="13.5" hidden="false" customHeight="true" outlineLevel="0" collapsed="false">
      <c r="K166" s="1" t="s">
        <v>612</v>
      </c>
      <c r="L166" s="2" t="s">
        <v>613</v>
      </c>
    </row>
    <row r="167" customFormat="false" ht="13.5" hidden="false" customHeight="true" outlineLevel="0" collapsed="false">
      <c r="K167" s="1" t="s">
        <v>614</v>
      </c>
      <c r="L167" s="2" t="s">
        <v>615</v>
      </c>
    </row>
    <row r="168" customFormat="false" ht="13.5" hidden="false" customHeight="true" outlineLevel="0" collapsed="false">
      <c r="K168" s="1" t="s">
        <v>616</v>
      </c>
      <c r="L168" s="2" t="s">
        <v>617</v>
      </c>
    </row>
    <row r="169" customFormat="false" ht="13.5" hidden="false" customHeight="true" outlineLevel="0" collapsed="false">
      <c r="K169" s="1" t="s">
        <v>618</v>
      </c>
      <c r="L169" s="2" t="s">
        <v>619</v>
      </c>
    </row>
    <row r="170" customFormat="false" ht="13.5" hidden="false" customHeight="true" outlineLevel="0" collapsed="false">
      <c r="K170" s="1" t="s">
        <v>620</v>
      </c>
      <c r="L170" s="2" t="s">
        <v>621</v>
      </c>
    </row>
    <row r="171" customFormat="false" ht="13.5" hidden="false" customHeight="true" outlineLevel="0" collapsed="false">
      <c r="K171" s="1" t="s">
        <v>622</v>
      </c>
      <c r="L171" s="2" t="s">
        <v>623</v>
      </c>
    </row>
    <row r="172" customFormat="false" ht="13.5" hidden="false" customHeight="true" outlineLevel="0" collapsed="false">
      <c r="K172" s="1" t="s">
        <v>624</v>
      </c>
      <c r="L172" s="2" t="s">
        <v>625</v>
      </c>
    </row>
    <row r="173" customFormat="false" ht="13.5" hidden="false" customHeight="true" outlineLevel="0" collapsed="false">
      <c r="K173" s="1" t="s">
        <v>626</v>
      </c>
      <c r="L173" s="2" t="s">
        <v>627</v>
      </c>
    </row>
    <row r="174" customFormat="false" ht="13.5" hidden="false" customHeight="true" outlineLevel="0" collapsed="false">
      <c r="K174" s="1" t="s">
        <v>628</v>
      </c>
      <c r="L174" s="2" t="s">
        <v>629</v>
      </c>
    </row>
    <row r="175" customFormat="false" ht="13.5" hidden="false" customHeight="true" outlineLevel="0" collapsed="false">
      <c r="K175" s="1" t="s">
        <v>630</v>
      </c>
      <c r="L175" s="2" t="s">
        <v>631</v>
      </c>
    </row>
    <row r="176" customFormat="false" ht="13.5" hidden="false" customHeight="true" outlineLevel="0" collapsed="false">
      <c r="K176" s="1" t="s">
        <v>632</v>
      </c>
      <c r="L176" s="2" t="s">
        <v>633</v>
      </c>
    </row>
    <row r="177" customFormat="false" ht="13.5" hidden="false" customHeight="true" outlineLevel="0" collapsed="false">
      <c r="K177" s="1" t="s">
        <v>634</v>
      </c>
      <c r="L177" s="2" t="s">
        <v>635</v>
      </c>
    </row>
    <row r="178" customFormat="false" ht="13.5" hidden="false" customHeight="true" outlineLevel="0" collapsed="false">
      <c r="K178" s="1" t="s">
        <v>636</v>
      </c>
      <c r="L178" s="2" t="s">
        <v>637</v>
      </c>
    </row>
    <row r="179" customFormat="false" ht="13.5" hidden="false" customHeight="true" outlineLevel="0" collapsed="false">
      <c r="K179" s="1" t="s">
        <v>638</v>
      </c>
      <c r="L179" s="2" t="s">
        <v>639</v>
      </c>
    </row>
    <row r="180" customFormat="false" ht="13.5" hidden="false" customHeight="true" outlineLevel="0" collapsed="false">
      <c r="K180" s="1" t="s">
        <v>640</v>
      </c>
      <c r="L180" s="2" t="s">
        <v>641</v>
      </c>
    </row>
    <row r="181" customFormat="false" ht="13.5" hidden="false" customHeight="true" outlineLevel="0" collapsed="false">
      <c r="K181" s="1" t="s">
        <v>642</v>
      </c>
      <c r="L181" s="2" t="s">
        <v>643</v>
      </c>
    </row>
    <row r="182" customFormat="false" ht="13.5" hidden="false" customHeight="true" outlineLevel="0" collapsed="false">
      <c r="K182" s="1" t="s">
        <v>644</v>
      </c>
      <c r="L182" s="2" t="s">
        <v>645</v>
      </c>
    </row>
    <row r="183" customFormat="false" ht="13.5" hidden="false" customHeight="true" outlineLevel="0" collapsed="false">
      <c r="K183" s="1" t="s">
        <v>646</v>
      </c>
      <c r="L183" s="2" t="s">
        <v>647</v>
      </c>
    </row>
    <row r="184" customFormat="false" ht="13.5" hidden="false" customHeight="true" outlineLevel="0" collapsed="false">
      <c r="K184" s="1" t="s">
        <v>648</v>
      </c>
      <c r="L184" s="2" t="s">
        <v>649</v>
      </c>
    </row>
    <row r="185" customFormat="false" ht="13.5" hidden="false" customHeight="true" outlineLevel="0" collapsed="false">
      <c r="K185" s="1" t="s">
        <v>650</v>
      </c>
      <c r="L185" s="2" t="s">
        <v>651</v>
      </c>
    </row>
    <row r="186" customFormat="false" ht="13.5" hidden="false" customHeight="true" outlineLevel="0" collapsed="false">
      <c r="K186" s="1" t="s">
        <v>652</v>
      </c>
      <c r="L186" s="2" t="s">
        <v>379</v>
      </c>
    </row>
    <row r="187" customFormat="false" ht="13.5" hidden="false" customHeight="true" outlineLevel="0" collapsed="false">
      <c r="K187" s="1" t="s">
        <v>653</v>
      </c>
      <c r="L187" s="2" t="s">
        <v>654</v>
      </c>
    </row>
    <row r="188" customFormat="false" ht="13.5" hidden="false" customHeight="true" outlineLevel="0" collapsed="false">
      <c r="K188" s="1" t="s">
        <v>655</v>
      </c>
      <c r="L188" s="2" t="s">
        <v>656</v>
      </c>
    </row>
    <row r="189" customFormat="false" ht="13.5" hidden="false" customHeight="true" outlineLevel="0" collapsed="false">
      <c r="K189" s="1" t="s">
        <v>657</v>
      </c>
      <c r="L189" s="2" t="s">
        <v>658</v>
      </c>
    </row>
    <row r="190" customFormat="false" ht="13.5" hidden="false" customHeight="true" outlineLevel="0" collapsed="false">
      <c r="K190" s="1" t="s">
        <v>659</v>
      </c>
      <c r="L190" s="2" t="s">
        <v>660</v>
      </c>
    </row>
    <row r="191" customFormat="false" ht="13.5" hidden="false" customHeight="true" outlineLevel="0" collapsed="false">
      <c r="K191" s="1" t="s">
        <v>661</v>
      </c>
      <c r="L191" s="2" t="s">
        <v>662</v>
      </c>
    </row>
    <row r="192" customFormat="false" ht="13.5" hidden="false" customHeight="true" outlineLevel="0" collapsed="false">
      <c r="K192" s="1" t="s">
        <v>663</v>
      </c>
      <c r="L192" s="2" t="s">
        <v>664</v>
      </c>
    </row>
    <row r="193" customFormat="false" ht="13.5" hidden="false" customHeight="true" outlineLevel="0" collapsed="false">
      <c r="K193" s="1" t="s">
        <v>665</v>
      </c>
      <c r="L193" s="2" t="s">
        <v>666</v>
      </c>
    </row>
    <row r="194" customFormat="false" ht="13.5" hidden="false" customHeight="true" outlineLevel="0" collapsed="false">
      <c r="K194" s="1" t="s">
        <v>667</v>
      </c>
      <c r="L194" s="2" t="s">
        <v>668</v>
      </c>
    </row>
    <row r="195" customFormat="false" ht="13.5" hidden="false" customHeight="true" outlineLevel="0" collapsed="false">
      <c r="K195" s="1" t="s">
        <v>669</v>
      </c>
      <c r="L195" s="2" t="s">
        <v>670</v>
      </c>
    </row>
    <row r="196" customFormat="false" ht="13.5" hidden="false" customHeight="true" outlineLevel="0" collapsed="false">
      <c r="K196" s="1" t="s">
        <v>671</v>
      </c>
      <c r="L196" s="2" t="s">
        <v>672</v>
      </c>
    </row>
    <row r="197" customFormat="false" ht="13.5" hidden="false" customHeight="true" outlineLevel="0" collapsed="false">
      <c r="K197" s="1" t="s">
        <v>673</v>
      </c>
      <c r="L197" s="2" t="s">
        <v>674</v>
      </c>
    </row>
    <row r="198" customFormat="false" ht="13.5" hidden="false" customHeight="true" outlineLevel="0" collapsed="false">
      <c r="K198" s="1" t="s">
        <v>675</v>
      </c>
      <c r="L198" s="2" t="s">
        <v>676</v>
      </c>
    </row>
    <row r="199" customFormat="false" ht="13.5" hidden="false" customHeight="true" outlineLevel="0" collapsed="false">
      <c r="K199" s="1" t="s">
        <v>677</v>
      </c>
      <c r="L199" s="2" t="s">
        <v>678</v>
      </c>
    </row>
    <row r="200" customFormat="false" ht="13.5" hidden="false" customHeight="true" outlineLevel="0" collapsed="false">
      <c r="K200" s="1" t="s">
        <v>679</v>
      </c>
      <c r="L200" s="2" t="s">
        <v>398</v>
      </c>
    </row>
    <row r="201" customFormat="false" ht="13.5" hidden="false" customHeight="true" outlineLevel="0" collapsed="false">
      <c r="K201" s="1" t="s">
        <v>680</v>
      </c>
      <c r="L201" s="2" t="s">
        <v>681</v>
      </c>
    </row>
    <row r="202" customFormat="false" ht="13.5" hidden="false" customHeight="true" outlineLevel="0" collapsed="false">
      <c r="K202" s="1" t="s">
        <v>682</v>
      </c>
      <c r="L202" s="2" t="s">
        <v>683</v>
      </c>
    </row>
    <row r="203" customFormat="false" ht="13.5" hidden="false" customHeight="true" outlineLevel="0" collapsed="false">
      <c r="K203" s="1" t="s">
        <v>684</v>
      </c>
      <c r="L203" s="2" t="s">
        <v>685</v>
      </c>
    </row>
    <row r="204" customFormat="false" ht="13.5" hidden="false" customHeight="true" outlineLevel="0" collapsed="false">
      <c r="K204" s="1" t="s">
        <v>686</v>
      </c>
      <c r="L204" s="2" t="s">
        <v>687</v>
      </c>
    </row>
    <row r="205" customFormat="false" ht="13.5" hidden="false" customHeight="true" outlineLevel="0" collapsed="false">
      <c r="K205" s="1" t="s">
        <v>688</v>
      </c>
      <c r="L205" s="2" t="s">
        <v>689</v>
      </c>
    </row>
    <row r="206" customFormat="false" ht="13.5" hidden="false" customHeight="true" outlineLevel="0" collapsed="false">
      <c r="K206" s="1" t="s">
        <v>690</v>
      </c>
      <c r="L206" s="2" t="s">
        <v>691</v>
      </c>
    </row>
    <row r="207" customFormat="false" ht="13.5" hidden="false" customHeight="true" outlineLevel="0" collapsed="false">
      <c r="K207" s="1" t="s">
        <v>692</v>
      </c>
      <c r="L207" s="2" t="s">
        <v>693</v>
      </c>
    </row>
    <row r="208" customFormat="false" ht="13.5" hidden="false" customHeight="true" outlineLevel="0" collapsed="false">
      <c r="K208" s="1" t="s">
        <v>694</v>
      </c>
      <c r="L208" s="2" t="s">
        <v>695</v>
      </c>
    </row>
    <row r="209" customFormat="false" ht="13.5" hidden="false" customHeight="true" outlineLevel="0" collapsed="false">
      <c r="K209" s="1" t="s">
        <v>696</v>
      </c>
      <c r="L209" s="2" t="s">
        <v>697</v>
      </c>
    </row>
    <row r="210" customFormat="false" ht="13.5" hidden="false" customHeight="true" outlineLevel="0" collapsed="false">
      <c r="K210" s="1" t="s">
        <v>698</v>
      </c>
      <c r="L210" s="2" t="s">
        <v>699</v>
      </c>
    </row>
    <row r="211" customFormat="false" ht="13.5" hidden="false" customHeight="true" outlineLevel="0" collapsed="false">
      <c r="K211" s="1" t="s">
        <v>700</v>
      </c>
      <c r="L211" s="2" t="s">
        <v>701</v>
      </c>
    </row>
    <row r="212" customFormat="false" ht="13.5" hidden="false" customHeight="true" outlineLevel="0" collapsed="false">
      <c r="K212" s="1" t="s">
        <v>702</v>
      </c>
      <c r="L212" s="2" t="s">
        <v>703</v>
      </c>
    </row>
    <row r="213" customFormat="false" ht="13.5" hidden="false" customHeight="true" outlineLevel="0" collapsed="false">
      <c r="K213" s="1" t="s">
        <v>704</v>
      </c>
      <c r="L213" s="2" t="s">
        <v>705</v>
      </c>
    </row>
    <row r="214" customFormat="false" ht="13.5" hidden="false" customHeight="true" outlineLevel="0" collapsed="false">
      <c r="K214" s="1" t="s">
        <v>706</v>
      </c>
      <c r="L214" s="2" t="s">
        <v>707</v>
      </c>
    </row>
    <row r="215" customFormat="false" ht="13.5" hidden="false" customHeight="true" outlineLevel="0" collapsed="false">
      <c r="K215" s="1" t="s">
        <v>708</v>
      </c>
      <c r="L215" s="2" t="s">
        <v>709</v>
      </c>
    </row>
    <row r="216" customFormat="false" ht="13.5" hidden="false" customHeight="true" outlineLevel="0" collapsed="false">
      <c r="K216" s="1" t="s">
        <v>710</v>
      </c>
      <c r="L216" s="2" t="s">
        <v>711</v>
      </c>
    </row>
    <row r="217" customFormat="false" ht="13.5" hidden="false" customHeight="true" outlineLevel="0" collapsed="false">
      <c r="K217" s="1" t="s">
        <v>712</v>
      </c>
      <c r="L217" s="2" t="s">
        <v>713</v>
      </c>
    </row>
    <row r="218" customFormat="false" ht="13.5" hidden="false" customHeight="true" outlineLevel="0" collapsed="false">
      <c r="K218" s="1" t="s">
        <v>714</v>
      </c>
      <c r="L218" s="2" t="s">
        <v>715</v>
      </c>
    </row>
    <row r="219" customFormat="false" ht="13.5" hidden="false" customHeight="true" outlineLevel="0" collapsed="false">
      <c r="K219" s="1" t="s">
        <v>716</v>
      </c>
      <c r="L219" s="2" t="s">
        <v>717</v>
      </c>
    </row>
    <row r="220" customFormat="false" ht="13.5" hidden="false" customHeight="true" outlineLevel="0" collapsed="false">
      <c r="K220" s="1" t="s">
        <v>718</v>
      </c>
      <c r="L220" s="2" t="s">
        <v>719</v>
      </c>
    </row>
    <row r="221" customFormat="false" ht="13.5" hidden="false" customHeight="true" outlineLevel="0" collapsed="false">
      <c r="K221" s="1" t="s">
        <v>720</v>
      </c>
      <c r="L221" s="2" t="s">
        <v>721</v>
      </c>
    </row>
    <row r="222" customFormat="false" ht="13.5" hidden="false" customHeight="true" outlineLevel="0" collapsed="false">
      <c r="K222" s="1" t="s">
        <v>722</v>
      </c>
      <c r="L222" s="2" t="s">
        <v>723</v>
      </c>
    </row>
    <row r="223" customFormat="false" ht="13.5" hidden="false" customHeight="true" outlineLevel="0" collapsed="false">
      <c r="K223" s="1" t="s">
        <v>724</v>
      </c>
      <c r="L223" s="2" t="s">
        <v>725</v>
      </c>
    </row>
    <row r="224" customFormat="false" ht="13.5" hidden="false" customHeight="true" outlineLevel="0" collapsed="false">
      <c r="K224" s="1" t="s">
        <v>726</v>
      </c>
      <c r="L224" s="2" t="s">
        <v>727</v>
      </c>
    </row>
    <row r="225" customFormat="false" ht="13.5" hidden="false" customHeight="true" outlineLevel="0" collapsed="false">
      <c r="K225" s="1" t="s">
        <v>728</v>
      </c>
      <c r="L225" s="2" t="s">
        <v>44</v>
      </c>
    </row>
    <row r="226" customFormat="false" ht="13.5" hidden="false" customHeight="true" outlineLevel="0" collapsed="false">
      <c r="K226" s="1" t="s">
        <v>729</v>
      </c>
      <c r="L226" s="2" t="s">
        <v>730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6640625" defaultRowHeight="13.5" zeroHeight="false" outlineLevelRow="0" outlineLevelCol="0"/>
  <cols>
    <col collapsed="false" customWidth="false" hidden="false" outlineLevel="0" max="1" min="1" style="6" width="10.66"/>
    <col collapsed="false" customWidth="true" hidden="false" outlineLevel="0" max="2" min="2" style="6" width="17.08"/>
    <col collapsed="false" customWidth="true" hidden="false" outlineLevel="0" max="3" min="3" style="6" width="12.66"/>
    <col collapsed="false" customWidth="true" hidden="false" outlineLevel="0" max="4" min="4" style="6" width="7.5"/>
    <col collapsed="false" customWidth="true" hidden="false" outlineLevel="0" max="5" min="5" style="6" width="11.5"/>
    <col collapsed="false" customWidth="true" hidden="false" outlineLevel="0" max="6" min="6" style="6" width="13.25"/>
    <col collapsed="false" customWidth="true" hidden="false" outlineLevel="0" max="7" min="7" style="6" width="8.5"/>
    <col collapsed="false" customWidth="false" hidden="false" outlineLevel="0" max="16384" min="8" style="6" width="10.66"/>
  </cols>
  <sheetData>
    <row r="1" customFormat="false" ht="13.5" hidden="false" customHeight="true" outlineLevel="0" collapsed="false">
      <c r="A1" s="7"/>
      <c r="B1" s="8"/>
      <c r="C1" s="6" t="str">
        <f aca="false" t="array" ref="C1:M2">TRANSPOSE(listes!A2:B12)</f>
        <v>CAT001</v>
      </c>
      <c r="D1" s="6" t="str">
        <v>CAT002</v>
      </c>
      <c r="E1" s="6" t="str">
        <v>CAT003</v>
      </c>
      <c r="F1" s="6" t="str">
        <v>CAT004</v>
      </c>
      <c r="G1" s="6" t="str">
        <v>CAT005</v>
      </c>
      <c r="H1" s="6" t="n">
        <v>0</v>
      </c>
      <c r="I1" s="6" t="n">
        <v>0</v>
      </c>
      <c r="J1" s="6" t="n">
        <v>0</v>
      </c>
      <c r="K1" s="6" t="n">
        <v>0</v>
      </c>
      <c r="L1" s="6" t="n">
        <v>0</v>
      </c>
      <c r="M1" s="6" t="n">
        <v>0</v>
      </c>
    </row>
    <row r="2" customFormat="false" ht="13.5" hidden="false" customHeight="true" outlineLevel="0" collapsed="false">
      <c r="A2" s="3" t="str">
        <f aca="false">IF(listes!C1="","",listes!C1)</f>
        <v>id</v>
      </c>
      <c r="B2" s="3" t="str">
        <f aca="false">IF(listes!D1="","",listes!D1)</f>
        <v>cycles</v>
      </c>
      <c r="C2" s="6" t="str">
        <v>école &amp; études</v>
      </c>
      <c r="D2" s="6" t="str">
        <v>langues</v>
      </c>
      <c r="E2" s="6" t="str">
        <v>professionnel</v>
      </c>
      <c r="F2" s="6" t="str">
        <v>culture générale</v>
      </c>
      <c r="G2" s="6" t="str">
        <v>personnel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</row>
    <row r="3" customFormat="false" ht="13.5" hidden="false" customHeight="true" outlineLevel="0" collapsed="false">
      <c r="A3" s="1" t="str">
        <f aca="false">IF(listes!C2="","",listes!C2)</f>
        <v>EEE001</v>
      </c>
      <c r="B3" s="1" t="str">
        <f aca="false">IF(listes!D2="","",listes!D2)</f>
        <v>primaire</v>
      </c>
      <c r="C3" s="6" t="n">
        <v>1</v>
      </c>
    </row>
    <row r="4" customFormat="false" ht="13.5" hidden="false" customHeight="true" outlineLevel="0" collapsed="false">
      <c r="A4" s="1" t="str">
        <f aca="false">IF(listes!C3="","",listes!C3)</f>
        <v>EEE002</v>
      </c>
      <c r="B4" s="1" t="str">
        <f aca="false">IF(listes!D3="","",listes!D3)</f>
        <v>collège</v>
      </c>
      <c r="C4" s="6" t="n">
        <v>1</v>
      </c>
    </row>
    <row r="5" customFormat="false" ht="13.5" hidden="false" customHeight="true" outlineLevel="0" collapsed="false">
      <c r="A5" s="1" t="str">
        <f aca="false">IF(listes!C4="","",listes!C4)</f>
        <v>EEE003</v>
      </c>
      <c r="B5" s="1" t="str">
        <f aca="false">IF(listes!D4="","",listes!D4)</f>
        <v>lycée</v>
      </c>
      <c r="C5" s="6" t="n">
        <v>1</v>
      </c>
    </row>
    <row r="6" customFormat="false" ht="13.5" hidden="false" customHeight="true" outlineLevel="0" collapsed="false">
      <c r="A6" s="1" t="str">
        <f aca="false">IF(listes!C5="","",listes!C5)</f>
        <v>EEE004</v>
      </c>
      <c r="B6" s="1" t="str">
        <f aca="false">IF(listes!D5="","",listes!D5)</f>
        <v>études supérieures</v>
      </c>
      <c r="C6" s="6" t="n">
        <v>1</v>
      </c>
    </row>
    <row r="7" customFormat="false" ht="13.5" hidden="false" customHeight="true" outlineLevel="0" collapsed="false">
      <c r="A7" s="1"/>
      <c r="B7" s="1"/>
    </row>
    <row r="8" customFormat="false" ht="13.5" hidden="false" customHeight="true" outlineLevel="0" collapsed="false">
      <c r="A8" s="1"/>
      <c r="B8" s="1"/>
    </row>
    <row r="9" customFormat="false" ht="13.5" hidden="false" customHeight="true" outlineLevel="0" collapsed="false">
      <c r="A9" s="1"/>
      <c r="B9" s="1"/>
    </row>
    <row r="10" customFormat="false" ht="13.5" hidden="false" customHeight="true" outlineLevel="0" collapsed="false">
      <c r="A10" s="1"/>
      <c r="B10" s="1"/>
    </row>
    <row r="11" customFormat="false" ht="13.5" hidden="false" customHeight="true" outlineLevel="0" collapsed="false">
      <c r="A11" s="1"/>
      <c r="B11" s="1"/>
    </row>
    <row r="12" customFormat="false" ht="13.5" hidden="false" customHeight="true" outlineLevel="0" collapsed="false">
      <c r="A12" s="1"/>
      <c r="B12" s="1"/>
    </row>
    <row r="13" customFormat="false" ht="13.5" hidden="false" customHeight="true" outlineLevel="0" collapsed="false">
      <c r="A13" s="1"/>
      <c r="B13" s="1"/>
    </row>
    <row r="14" customFormat="false" ht="13.5" hidden="false" customHeight="true" outlineLevel="0" collapsed="false">
      <c r="A14" s="1"/>
      <c r="B14" s="1"/>
    </row>
    <row r="15" customFormat="false" ht="13.5" hidden="false" customHeight="true" outlineLevel="0" collapsed="false">
      <c r="A15" s="1"/>
      <c r="B1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0.6640625" defaultRowHeight="13.5" zeroHeight="false" outlineLevelRow="0" outlineLevelCol="0"/>
  <cols>
    <col collapsed="false" customWidth="false" hidden="false" outlineLevel="0" max="1" min="1" style="6" width="10.66"/>
    <col collapsed="false" customWidth="true" hidden="false" outlineLevel="0" max="2" min="2" style="6" width="17.08"/>
    <col collapsed="false" customWidth="true" hidden="false" outlineLevel="0" max="5" min="3" style="6" width="7.5"/>
    <col collapsed="false" customWidth="true" hidden="false" outlineLevel="0" max="6" min="6" style="6" width="15.91"/>
    <col collapsed="false" customWidth="true" hidden="false" outlineLevel="0" max="7" min="7" style="6" width="8.5"/>
    <col collapsed="false" customWidth="false" hidden="false" outlineLevel="0" max="16384" min="8" style="6" width="10.66"/>
  </cols>
  <sheetData>
    <row r="1" customFormat="false" ht="13.5" hidden="false" customHeight="true" outlineLevel="0" collapsed="false">
      <c r="A1" s="7"/>
      <c r="B1" s="8"/>
      <c r="C1" s="6" t="str">
        <f aca="false" t="array" ref="C1:L2">TRANSPOSE(listes!C2:D11)</f>
        <v>EEE001</v>
      </c>
      <c r="D1" s="6" t="str">
        <v>EEE002</v>
      </c>
      <c r="E1" s="6" t="str">
        <v>EEE003</v>
      </c>
      <c r="F1" s="6" t="str">
        <v>EEE004</v>
      </c>
      <c r="G1" s="6" t="n">
        <v>0</v>
      </c>
      <c r="H1" s="6" t="n">
        <v>0</v>
      </c>
      <c r="I1" s="6" t="n">
        <v>0</v>
      </c>
      <c r="J1" s="6" t="n">
        <v>0</v>
      </c>
      <c r="K1" s="6" t="n">
        <v>0</v>
      </c>
      <c r="L1" s="6" t="n">
        <v>0</v>
      </c>
    </row>
    <row r="2" customFormat="false" ht="13.5" hidden="false" customHeight="true" outlineLevel="0" collapsed="false">
      <c r="A2" s="3" t="str">
        <f aca="false">IF(listes!E1="","",listes!E1)</f>
        <v>id</v>
      </c>
      <c r="B2" s="3" t="str">
        <f aca="false">IF(listes!F1="","",listes!F1)</f>
        <v>niveaux</v>
      </c>
      <c r="C2" s="6" t="str">
        <v>primaire</v>
      </c>
      <c r="D2" s="6" t="str">
        <v>collège</v>
      </c>
      <c r="E2" s="6" t="str">
        <v>lycée</v>
      </c>
      <c r="F2" s="6" t="str">
        <v>études supérieures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</row>
    <row r="3" customFormat="false" ht="13.5" hidden="false" customHeight="true" outlineLevel="0" collapsed="false">
      <c r="A3" s="1" t="str">
        <f aca="false">IF(listes!E2="","",listes!E2)</f>
        <v>NIV001</v>
      </c>
      <c r="B3" s="1" t="str">
        <f aca="false">IF(listes!F2="","",listes!F2)</f>
        <v>CP</v>
      </c>
      <c r="C3" s="6" t="n">
        <v>1</v>
      </c>
    </row>
    <row r="4" customFormat="false" ht="13.5" hidden="false" customHeight="true" outlineLevel="0" collapsed="false">
      <c r="A4" s="1" t="str">
        <f aca="false">IF(listes!E3="","",listes!E3)</f>
        <v>NIV002</v>
      </c>
      <c r="B4" s="1" t="str">
        <f aca="false">IF(listes!F3="","",listes!F3)</f>
        <v>CE1</v>
      </c>
      <c r="C4" s="6" t="n">
        <v>1</v>
      </c>
    </row>
    <row r="5" customFormat="false" ht="13.5" hidden="false" customHeight="true" outlineLevel="0" collapsed="false">
      <c r="A5" s="1" t="str">
        <f aca="false">IF(listes!E4="","",listes!E4)</f>
        <v>NIV003</v>
      </c>
      <c r="B5" s="1" t="str">
        <f aca="false">IF(listes!F4="","",listes!F4)</f>
        <v>CE2</v>
      </c>
      <c r="C5" s="6" t="n">
        <v>1</v>
      </c>
    </row>
    <row r="6" customFormat="false" ht="13.5" hidden="false" customHeight="true" outlineLevel="0" collapsed="false">
      <c r="A6" s="1" t="str">
        <f aca="false">IF(listes!E5="","",listes!E5)</f>
        <v>NIV004</v>
      </c>
      <c r="B6" s="1" t="str">
        <f aca="false">IF(listes!F5="","",listes!F5)</f>
        <v>CM1</v>
      </c>
      <c r="C6" s="6" t="n">
        <v>1</v>
      </c>
    </row>
    <row r="7" customFormat="false" ht="13.5" hidden="false" customHeight="true" outlineLevel="0" collapsed="false">
      <c r="A7" s="1" t="str">
        <f aca="false">IF(listes!E6="","",listes!E6)</f>
        <v>NIV005</v>
      </c>
      <c r="B7" s="1" t="str">
        <f aca="false">IF(listes!F6="","",listes!F6)</f>
        <v>CM2</v>
      </c>
      <c r="C7" s="6" t="n">
        <v>1</v>
      </c>
    </row>
    <row r="8" customFormat="false" ht="13.5" hidden="false" customHeight="true" outlineLevel="0" collapsed="false">
      <c r="A8" s="1" t="str">
        <f aca="false">IF(listes!E7="","",listes!E7)</f>
        <v>NIV006</v>
      </c>
      <c r="B8" s="1" t="str">
        <f aca="false">IF(listes!F7="","",listes!F7)</f>
        <v>6ème</v>
      </c>
      <c r="D8" s="6" t="n">
        <v>1</v>
      </c>
    </row>
    <row r="9" customFormat="false" ht="13.5" hidden="false" customHeight="true" outlineLevel="0" collapsed="false">
      <c r="A9" s="1" t="str">
        <f aca="false">IF(listes!E8="","",listes!E8)</f>
        <v>NIV007</v>
      </c>
      <c r="B9" s="1" t="str">
        <f aca="false">IF(listes!F8="","",listes!F8)</f>
        <v>5ème</v>
      </c>
      <c r="D9" s="6" t="n">
        <v>1</v>
      </c>
    </row>
    <row r="10" customFormat="false" ht="13.5" hidden="false" customHeight="true" outlineLevel="0" collapsed="false">
      <c r="A10" s="1" t="str">
        <f aca="false">IF(listes!E9="","",listes!E9)</f>
        <v>NIV008</v>
      </c>
      <c r="B10" s="1" t="str">
        <f aca="false">IF(listes!F9="","",listes!F9)</f>
        <v>4ème</v>
      </c>
      <c r="D10" s="6" t="n">
        <v>1</v>
      </c>
    </row>
    <row r="11" customFormat="false" ht="13.5" hidden="false" customHeight="true" outlineLevel="0" collapsed="false">
      <c r="A11" s="1" t="str">
        <f aca="false">IF(listes!E10="","",listes!E10)</f>
        <v>NIV009</v>
      </c>
      <c r="B11" s="1" t="str">
        <f aca="false">IF(listes!F10="","",listes!F10)</f>
        <v>3ème</v>
      </c>
      <c r="D11" s="6" t="n">
        <v>1</v>
      </c>
    </row>
    <row r="12" customFormat="false" ht="13.5" hidden="false" customHeight="true" outlineLevel="0" collapsed="false">
      <c r="A12" s="1" t="str">
        <f aca="false">IF(listes!E11="","",listes!E11)</f>
        <v>NIV010</v>
      </c>
      <c r="B12" s="1" t="str">
        <f aca="false">IF(listes!F11="","",listes!F11)</f>
        <v>2nde</v>
      </c>
      <c r="E12" s="6" t="n">
        <v>1</v>
      </c>
    </row>
    <row r="13" customFormat="false" ht="13.5" hidden="false" customHeight="true" outlineLevel="0" collapsed="false">
      <c r="A13" s="1" t="str">
        <f aca="false">IF(listes!E12="","",listes!E12)</f>
        <v>NIV011</v>
      </c>
      <c r="B13" s="1" t="str">
        <f aca="false">IF(listes!F12="","",listes!F12)</f>
        <v>1ère</v>
      </c>
      <c r="E13" s="6" t="n">
        <v>1</v>
      </c>
    </row>
    <row r="14" customFormat="false" ht="13.5" hidden="false" customHeight="true" outlineLevel="0" collapsed="false">
      <c r="A14" s="1" t="str">
        <f aca="false">IF(listes!E13="","",listes!E13)</f>
        <v>NIV012</v>
      </c>
      <c r="B14" s="1" t="str">
        <f aca="false">IF(listes!F13="","",listes!F13)</f>
        <v>terminale</v>
      </c>
      <c r="E14" s="6" t="n">
        <v>1</v>
      </c>
    </row>
    <row r="15" customFormat="false" ht="13.5" hidden="false" customHeight="true" outlineLevel="0" collapsed="false">
      <c r="A15" s="1" t="str">
        <f aca="false">IF(listes!E14="","",listes!E14)</f>
        <v>NIV013</v>
      </c>
      <c r="B15" s="1" t="str">
        <f aca="false">IF(listes!F14="","",listes!F14)</f>
        <v>BTS</v>
      </c>
      <c r="F15" s="6" t="n">
        <v>1</v>
      </c>
    </row>
    <row r="16" customFormat="false" ht="13.5" hidden="false" customHeight="true" outlineLevel="0" collapsed="false">
      <c r="A16" s="1" t="str">
        <f aca="false">IF(listes!E15="","",listes!E15)</f>
        <v>NIV014</v>
      </c>
      <c r="B16" s="1" t="str">
        <f aca="false">IF(listes!F15="","",listes!F15)</f>
        <v>BTSA</v>
      </c>
      <c r="F16" s="6" t="n">
        <v>1</v>
      </c>
    </row>
    <row r="17" customFormat="false" ht="13.5" hidden="false" customHeight="true" outlineLevel="0" collapsed="false">
      <c r="A17" s="1" t="str">
        <f aca="false">IF(listes!E16="","",listes!E16)</f>
        <v>NIV015</v>
      </c>
      <c r="B17" s="1" t="str">
        <f aca="false">IF(listes!F16="","",listes!F16)</f>
        <v>BUT</v>
      </c>
      <c r="F17" s="6" t="n">
        <v>1</v>
      </c>
    </row>
    <row r="18" customFormat="false" ht="13.5" hidden="false" customHeight="true" outlineLevel="0" collapsed="false">
      <c r="A18" s="1" t="str">
        <f aca="false">IF(listes!E17="","",listes!E17)</f>
        <v>NIV016</v>
      </c>
      <c r="B18" s="1" t="str">
        <f aca="false">IF(listes!F17="","",listes!F17)</f>
        <v>CPGE</v>
      </c>
      <c r="F18" s="6" t="n">
        <v>1</v>
      </c>
    </row>
    <row r="19" customFormat="false" ht="13.5" hidden="false" customHeight="true" outlineLevel="0" collapsed="false">
      <c r="A19" s="1" t="str">
        <f aca="false">IF(listes!E18="","",listes!E18)</f>
        <v>NIV017</v>
      </c>
      <c r="B19" s="1" t="str">
        <f aca="false">IF(listes!F18="","",listes!F18)</f>
        <v>école d'ingénieurs</v>
      </c>
      <c r="F19" s="6" t="n">
        <v>1</v>
      </c>
    </row>
    <row r="20" customFormat="false" ht="13.5" hidden="false" customHeight="true" outlineLevel="0" collapsed="false">
      <c r="A20" s="1" t="str">
        <f aca="false">IF(listes!E19="","",listes!E19)</f>
        <v>NIV018</v>
      </c>
      <c r="B20" s="1" t="str">
        <f aca="false">IF(listes!F19="","",listes!F19)</f>
        <v>école de commerce</v>
      </c>
      <c r="F20" s="6" t="n">
        <v>1</v>
      </c>
    </row>
    <row r="21" customFormat="false" ht="13.5" hidden="false" customHeight="true" outlineLevel="0" collapsed="false">
      <c r="A21" s="1" t="str">
        <f aca="false">IF(listes!E20="","",listes!E20)</f>
        <v>NIV019</v>
      </c>
      <c r="B21" s="1" t="str">
        <f aca="false">IF(listes!F20="","",listes!F20)</f>
        <v>licence</v>
      </c>
      <c r="F21" s="6" t="n">
        <v>1</v>
      </c>
    </row>
    <row r="22" customFormat="false" ht="13.5" hidden="false" customHeight="true" outlineLevel="0" collapsed="false">
      <c r="A22" s="1" t="str">
        <f aca="false">IF(listes!E21="","",listes!E21)</f>
        <v>NIV020</v>
      </c>
      <c r="B22" s="1" t="str">
        <f aca="false">IF(listes!F21="","",listes!F21)</f>
        <v>master</v>
      </c>
      <c r="F22" s="6" t="n">
        <v>1</v>
      </c>
    </row>
    <row r="23" customFormat="false" ht="13.5" hidden="false" customHeight="true" outlineLevel="0" collapsed="false">
      <c r="A23" s="1" t="str">
        <f aca="false">IF(listes!E22="","",listes!E22)</f>
        <v>NIV021</v>
      </c>
      <c r="B23" s="1" t="str">
        <f aca="false">IF(listes!F22="","",listes!F22)</f>
        <v>DE (diplôme d'état)</v>
      </c>
      <c r="F23" s="6" t="n">
        <v>1</v>
      </c>
    </row>
    <row r="24" customFormat="false" ht="13.5" hidden="false" customHeight="true" outlineLevel="0" collapsed="false">
      <c r="A24" s="1" t="str">
        <f aca="false">IF(listes!E23="","",listes!E23)</f>
        <v>NIV022</v>
      </c>
      <c r="B24" s="1" t="str">
        <f aca="false">IF(listes!F23="","",listes!F23)</f>
        <v>DN MADE</v>
      </c>
      <c r="F24" s="6" t="n">
        <v>1</v>
      </c>
    </row>
    <row r="25" customFormat="false" ht="13.5" hidden="false" customHeight="true" outlineLevel="0" collapsed="false">
      <c r="A25" s="1" t="str">
        <f aca="false">IF(listes!E24="","",listes!E24)</f>
        <v>NIV023</v>
      </c>
      <c r="B25" s="1" t="str">
        <f aca="false">IF(listes!F24="","",listes!F24)</f>
        <v>DNA</v>
      </c>
      <c r="F25" s="6" t="n">
        <v>1</v>
      </c>
    </row>
    <row r="26" customFormat="false" ht="13.5" hidden="false" customHeight="true" outlineLevel="0" collapsed="false">
      <c r="A26" s="1" t="str">
        <f aca="false">IF(listes!E25="","",listes!E25)</f>
        <v>NIV024</v>
      </c>
      <c r="B26" s="1" t="str">
        <f aca="false">IF(listes!F25="","",listes!F25)</f>
        <v>non diplomant</v>
      </c>
      <c r="F26" s="6" t="n">
        <v>1</v>
      </c>
    </row>
    <row r="27" customFormat="false" ht="13.5" hidden="false" customHeight="true" outlineLevel="0" collapsed="false">
      <c r="A27" s="1" t="str">
        <f aca="false">IF(listes!E26="","",listes!E26)</f>
        <v>NIV025</v>
      </c>
      <c r="B27" s="1" t="str">
        <f aca="false">IF(listes!F26="","",listes!F26)</f>
        <v>DNSP</v>
      </c>
      <c r="F27" s="6" t="n">
        <v>1</v>
      </c>
    </row>
    <row r="28" customFormat="false" ht="13.5" hidden="false" customHeight="true" outlineLevel="0" collapsed="false">
      <c r="A28" s="1" t="str">
        <f aca="false">IF(listes!E27="","",listes!E27)</f>
        <v>NIV026</v>
      </c>
      <c r="B28" s="1" t="str">
        <f aca="false">IF(listes!F27="","",listes!F27)</f>
        <v>doctorat</v>
      </c>
      <c r="F28" s="6" t="n">
        <v>1</v>
      </c>
    </row>
    <row r="29" customFormat="false" ht="13.5" hidden="false" customHeight="true" outlineLevel="0" collapsed="false">
      <c r="A29" s="1" t="str">
        <f aca="false">IF(listes!E28="","",listes!E28)</f>
        <v>NIV027</v>
      </c>
      <c r="B29" s="1" t="str">
        <f aca="false">IF(listes!F28="","",listes!F28)</f>
        <v>licence professionnelle</v>
      </c>
      <c r="F29" s="6" t="n">
        <v>1</v>
      </c>
    </row>
    <row r="30" customFormat="false" ht="13.5" hidden="false" customHeight="true" outlineLevel="0" collapsed="false">
      <c r="A30" s="1" t="str">
        <f aca="false">IF(listes!E29="","",listes!E29)</f>
        <v>NIV028</v>
      </c>
      <c r="B30" s="1" t="str">
        <f aca="false">IF(listes!F29="","",listes!F29)</f>
        <v>DEUST</v>
      </c>
      <c r="F30" s="6" t="n">
        <v>1</v>
      </c>
    </row>
    <row r="31" customFormat="false" ht="13.5" hidden="false" customHeight="true" outlineLevel="0" collapsed="false">
      <c r="A31" s="1" t="str">
        <f aca="false">IF(listes!E30="","",listes!E30)</f>
        <v>NIV029</v>
      </c>
      <c r="B31" s="1" t="str">
        <f aca="false">IF(listes!F30="","",listes!F30)</f>
        <v>Diplôme d'école</v>
      </c>
      <c r="F31" s="6" t="n">
        <v>1</v>
      </c>
    </row>
    <row r="32" customFormat="false" ht="13.5" hidden="false" customHeight="true" outlineLevel="0" collapsed="false">
      <c r="A32" s="1" t="str">
        <f aca="false">IF(listes!E31="","",listes!E31)</f>
        <v>NIV030</v>
      </c>
      <c r="B32" s="1" t="str">
        <f aca="false">IF(listes!F31="","",listes!F31)</f>
        <v>DSAA</v>
      </c>
      <c r="F32" s="6" t="n">
        <v>1</v>
      </c>
    </row>
    <row r="33" customFormat="false" ht="13.5" hidden="false" customHeight="true" outlineLevel="0" collapsed="false">
      <c r="A33" s="1" t="str">
        <f aca="false">IF(listes!E32="","",listes!E32)</f>
        <v>NIV031</v>
      </c>
      <c r="B33" s="1" t="str">
        <f aca="false">IF(listes!F32="","",listes!F32)</f>
        <v>DCG</v>
      </c>
      <c r="F33" s="6" t="n">
        <v>1</v>
      </c>
    </row>
    <row r="34" customFormat="false" ht="13.5" hidden="false" customHeight="true" outlineLevel="0" collapsed="false">
      <c r="A34" s="1" t="str">
        <f aca="false">IF(listes!E33="","",listes!E33)</f>
        <v>NIV032</v>
      </c>
      <c r="B34" s="1" t="str">
        <f aca="false">IF(listes!F33="","",listes!F33)</f>
        <v>bachelor agro</v>
      </c>
      <c r="F34" s="6" t="n">
        <v>1</v>
      </c>
    </row>
    <row r="35" customFormat="false" ht="13.5" hidden="false" customHeight="true" outlineLevel="0" collapsed="false">
      <c r="A35" s="1" t="str">
        <f aca="false">IF(listes!E34="","",listes!E34)</f>
        <v>NIV033</v>
      </c>
      <c r="B35" s="1" t="str">
        <f aca="false">IF(listes!F34="","",listes!F34)</f>
        <v>bachelor</v>
      </c>
      <c r="F35" s="6" t="n">
        <v>1</v>
      </c>
    </row>
    <row r="36" customFormat="false" ht="13.5" hidden="false" customHeight="true" outlineLevel="0" collapsed="false">
      <c r="A36" s="1" t="str">
        <f aca="false">IF(listes!E35="","",listes!E35)</f>
        <v>NIV034</v>
      </c>
      <c r="B36" s="1" t="str">
        <f aca="false">IF(listes!F35="","",listes!F35)</f>
        <v>CAP</v>
      </c>
      <c r="E36" s="6" t="n">
        <v>1</v>
      </c>
    </row>
    <row r="37" customFormat="false" ht="13.5" hidden="false" customHeight="true" outlineLevel="0" collapsed="false">
      <c r="A37" s="1" t="str">
        <f aca="false">IF(listes!E36="","",listes!E36)</f>
        <v>NIV035</v>
      </c>
      <c r="B37" s="1" t="str">
        <f aca="false">IF(listes!F36="","",listes!F36)</f>
        <v>PASS</v>
      </c>
      <c r="F37" s="6" t="n">
        <v>1</v>
      </c>
    </row>
    <row r="38" customFormat="false" ht="13.5" hidden="false" customHeight="true" outlineLevel="0" collapsed="false">
      <c r="A38" s="1" t="str">
        <f aca="false">IF(listes!E37="","",listes!E37)</f>
        <v>NIV036</v>
      </c>
      <c r="B38" s="1" t="str">
        <f aca="false">IF(listes!F37="","",listes!F37)</f>
        <v>DSCG</v>
      </c>
      <c r="F38" s="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19" activeCellId="0" sqref="C19"/>
    </sheetView>
  </sheetViews>
  <sheetFormatPr defaultColWidth="10.6640625" defaultRowHeight="13.5" zeroHeight="false" outlineLevelRow="0" outlineLevelCol="0"/>
  <cols>
    <col collapsed="false" customWidth="false" hidden="false" outlineLevel="0" max="1" min="1" style="6" width="10.66"/>
    <col collapsed="false" customWidth="true" hidden="false" outlineLevel="0" max="2" min="2" style="9" width="37.58"/>
    <col collapsed="false" customWidth="true" hidden="false" outlineLevel="0" max="13" min="3" style="6" width="7.33"/>
    <col collapsed="false" customWidth="true" hidden="false" outlineLevel="0" max="14" min="14" style="6" width="8"/>
    <col collapsed="false" customWidth="true" hidden="false" outlineLevel="0" max="18" min="15" style="6" width="7.33"/>
    <col collapsed="false" customWidth="true" hidden="false" outlineLevel="0" max="19" min="19" style="6" width="15"/>
    <col collapsed="false" customWidth="true" hidden="false" outlineLevel="0" max="20" min="20" style="6" width="16.66"/>
    <col collapsed="false" customWidth="true" hidden="false" outlineLevel="0" max="21" min="21" style="6" width="7.33"/>
    <col collapsed="false" customWidth="false" hidden="false" outlineLevel="0" max="22" min="22" style="6" width="10.66"/>
    <col collapsed="false" customWidth="true" hidden="false" outlineLevel="0" max="23" min="23" style="6" width="16.17"/>
    <col collapsed="false" customWidth="false" hidden="false" outlineLevel="0" max="16384" min="24" style="6" width="10.66"/>
  </cols>
  <sheetData>
    <row r="1" customFormat="false" ht="13.5" hidden="false" customHeight="true" outlineLevel="0" collapsed="false">
      <c r="A1" s="7"/>
      <c r="B1" s="8"/>
      <c r="C1" s="6" t="str">
        <f aca="false" t="array" ref="C1:AR2">TRANSPOSE(listes!E2:F43)</f>
        <v>NIV001</v>
      </c>
      <c r="D1" s="6" t="str">
        <v>NIV002</v>
      </c>
      <c r="E1" s="6" t="str">
        <v>NIV003</v>
      </c>
      <c r="F1" s="6" t="str">
        <v>NIV004</v>
      </c>
      <c r="G1" s="6" t="str">
        <v>NIV005</v>
      </c>
      <c r="H1" s="6" t="str">
        <v>NIV006</v>
      </c>
      <c r="I1" s="6" t="str">
        <v>NIV007</v>
      </c>
      <c r="J1" s="6" t="str">
        <v>NIV008</v>
      </c>
      <c r="K1" s="6" t="str">
        <v>NIV009</v>
      </c>
      <c r="L1" s="6" t="str">
        <v>NIV010</v>
      </c>
      <c r="M1" s="6" t="str">
        <v>NIV011</v>
      </c>
      <c r="N1" s="6" t="str">
        <v>NIV012</v>
      </c>
      <c r="O1" s="6" t="str">
        <v>NIV013</v>
      </c>
      <c r="P1" s="6" t="str">
        <v>NIV014</v>
      </c>
      <c r="Q1" s="6" t="str">
        <v>NIV015</v>
      </c>
      <c r="R1" s="6" t="str">
        <v>NIV016</v>
      </c>
      <c r="S1" s="6" t="str">
        <v>NIV017</v>
      </c>
      <c r="T1" s="6" t="str">
        <v>NIV018</v>
      </c>
      <c r="U1" s="6" t="str">
        <v>NIV019</v>
      </c>
      <c r="V1" s="6" t="str">
        <v>NIV020</v>
      </c>
      <c r="W1" s="6" t="str">
        <v>NIV021</v>
      </c>
      <c r="X1" s="6" t="str">
        <v>NIV022</v>
      </c>
      <c r="Y1" s="6" t="str">
        <v>NIV023</v>
      </c>
      <c r="Z1" s="6" t="str">
        <v>NIV024</v>
      </c>
      <c r="AA1" s="6" t="str">
        <v>NIV025</v>
      </c>
      <c r="AB1" s="6" t="str">
        <v>NIV026</v>
      </c>
      <c r="AC1" s="6" t="str">
        <v>NIV027</v>
      </c>
      <c r="AD1" s="6" t="str">
        <v>NIV028</v>
      </c>
      <c r="AE1" s="6" t="str">
        <v>NIV029</v>
      </c>
      <c r="AF1" s="6" t="str">
        <v>NIV030</v>
      </c>
      <c r="AG1" s="6" t="str">
        <v>NIV031</v>
      </c>
      <c r="AH1" s="6" t="str">
        <v>NIV032</v>
      </c>
      <c r="AI1" s="6" t="str">
        <v>NIV033</v>
      </c>
      <c r="AJ1" s="6" t="str">
        <v>NIV034</v>
      </c>
      <c r="AK1" s="6" t="str">
        <v>NIV035</v>
      </c>
      <c r="AL1" s="6" t="str">
        <v>NIV036</v>
      </c>
      <c r="AM1" s="6" t="n">
        <v>0</v>
      </c>
      <c r="AN1" s="6" t="n">
        <v>0</v>
      </c>
      <c r="AO1" s="6" t="n">
        <v>0</v>
      </c>
      <c r="AP1" s="6" t="n">
        <v>0</v>
      </c>
      <c r="AQ1" s="6" t="n">
        <v>0</v>
      </c>
      <c r="AR1" s="6" t="n">
        <v>0</v>
      </c>
    </row>
    <row r="2" customFormat="false" ht="13.5" hidden="false" customHeight="true" outlineLevel="0" collapsed="false">
      <c r="A2" s="3" t="str">
        <f aca="false">IF(listes!I1="","",listes!I1)</f>
        <v>id</v>
      </c>
      <c r="B2" s="8" t="str">
        <f aca="false">IF(listes!J1="","",listes!J1)</f>
        <v>spécialités</v>
      </c>
      <c r="C2" s="6" t="str">
        <v>CP</v>
      </c>
      <c r="D2" s="6" t="str">
        <v>CE1</v>
      </c>
      <c r="E2" s="6" t="str">
        <v>CE2</v>
      </c>
      <c r="F2" s="6" t="str">
        <v>CM1</v>
      </c>
      <c r="G2" s="6" t="str">
        <v>CM2</v>
      </c>
      <c r="H2" s="6" t="str">
        <v>6ème</v>
      </c>
      <c r="I2" s="6" t="str">
        <v>5ème</v>
      </c>
      <c r="J2" s="6" t="str">
        <v>4ème</v>
      </c>
      <c r="K2" s="6" t="str">
        <v>3ème</v>
      </c>
      <c r="L2" s="6" t="str">
        <v>2nde</v>
      </c>
      <c r="M2" s="6" t="str">
        <v>1ère</v>
      </c>
      <c r="N2" s="6" t="str">
        <v>terminale</v>
      </c>
      <c r="O2" s="6" t="str">
        <v>BTS</v>
      </c>
      <c r="P2" s="6" t="str">
        <v>BTSA</v>
      </c>
      <c r="Q2" s="6" t="str">
        <v>BUT</v>
      </c>
      <c r="R2" s="6" t="str">
        <v>CPGE</v>
      </c>
      <c r="S2" s="6" t="str">
        <v>école d'ingénieurs</v>
      </c>
      <c r="T2" s="6" t="str">
        <v>école de commerce</v>
      </c>
      <c r="U2" s="6" t="str">
        <v>licence</v>
      </c>
      <c r="V2" s="6" t="str">
        <v>master</v>
      </c>
      <c r="W2" s="6" t="str">
        <v>DE (diplôme d'état)</v>
      </c>
      <c r="X2" s="6" t="str">
        <v>DN MADE</v>
      </c>
      <c r="Y2" s="6" t="str">
        <v>DNA</v>
      </c>
      <c r="Z2" s="6" t="str">
        <v>non diplomant</v>
      </c>
      <c r="AA2" s="6" t="str">
        <v>DNSP</v>
      </c>
      <c r="AB2" s="6" t="str">
        <v>doctorat</v>
      </c>
      <c r="AC2" s="6" t="str">
        <v>licence professionnelle</v>
      </c>
      <c r="AD2" s="6" t="str">
        <v>DEUST</v>
      </c>
      <c r="AE2" s="6" t="str">
        <v>Diplôme d'école</v>
      </c>
      <c r="AF2" s="6" t="str">
        <v>DSAA</v>
      </c>
      <c r="AG2" s="6" t="str">
        <v>DCG</v>
      </c>
      <c r="AH2" s="6" t="str">
        <v>bachelor agro</v>
      </c>
      <c r="AI2" s="6" t="str">
        <v>bachelor</v>
      </c>
      <c r="AJ2" s="6" t="str">
        <v>CAP</v>
      </c>
      <c r="AK2" s="6" t="str">
        <v>PASS</v>
      </c>
      <c r="AL2" s="6" t="str">
        <v>DSCG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</row>
    <row r="3" customFormat="false" ht="13.5" hidden="false" customHeight="true" outlineLevel="0" collapsed="false">
      <c r="A3" s="1" t="str">
        <f aca="false">IF(listes!I2="","",listes!I2)</f>
        <v>SPE001</v>
      </c>
      <c r="B3" s="10" t="str">
        <f aca="false">IF(listes!J2="","",listes!J2)</f>
        <v>Chartes</v>
      </c>
      <c r="R3" s="6" t="n">
        <v>1</v>
      </c>
    </row>
    <row r="4" customFormat="false" ht="13.5" hidden="false" customHeight="true" outlineLevel="0" collapsed="false">
      <c r="A4" s="1" t="str">
        <f aca="false">IF(listes!I3="","",listes!I3)</f>
        <v>SPE002</v>
      </c>
      <c r="B4" s="10" t="str">
        <f aca="false">IF(listes!J3="","",listes!J3)</f>
        <v>lettres</v>
      </c>
      <c r="R4" s="6" t="n">
        <v>1</v>
      </c>
      <c r="U4" s="6" t="n">
        <v>1</v>
      </c>
      <c r="V4" s="6" t="n">
        <v>1</v>
      </c>
      <c r="AB4" s="6" t="n">
        <v>1</v>
      </c>
    </row>
    <row r="5" customFormat="false" ht="13.5" hidden="false" customHeight="true" outlineLevel="0" collapsed="false">
      <c r="A5" s="1" t="str">
        <f aca="false">IF(listes!I4="","",listes!I4)</f>
        <v>SPE003</v>
      </c>
      <c r="B5" s="10" t="str">
        <f aca="false">IF(listes!J4="","",listes!J4)</f>
        <v>lettres et sciences sociales</v>
      </c>
      <c r="R5" s="6" t="n">
        <v>1</v>
      </c>
    </row>
    <row r="6" customFormat="false" ht="13.5" hidden="false" customHeight="true" outlineLevel="0" collapsed="false">
      <c r="A6" s="1" t="str">
        <f aca="false">IF(listes!I5="","",listes!I5)</f>
        <v>SPE004</v>
      </c>
      <c r="B6" s="10" t="str">
        <f aca="false">IF(listes!J5="","",listes!J5)</f>
        <v>Saint-Cyr lettres</v>
      </c>
      <c r="R6" s="6" t="n">
        <v>1</v>
      </c>
    </row>
    <row r="7" customFormat="false" ht="13.5" hidden="false" customHeight="true" outlineLevel="0" collapsed="false">
      <c r="A7" s="1" t="str">
        <f aca="false">IF(listes!I6="","",listes!I6)</f>
        <v>SPE005</v>
      </c>
      <c r="B7" s="10" t="str">
        <f aca="false">IF(listes!J6="","",listes!J6)</f>
        <v>arts et design</v>
      </c>
      <c r="R7" s="6" t="n">
        <v>1</v>
      </c>
    </row>
    <row r="8" customFormat="false" ht="13.5" hidden="false" customHeight="true" outlineLevel="0" collapsed="false">
      <c r="A8" s="1" t="str">
        <f aca="false">IF(listes!I7="","",listes!I7)</f>
        <v>SPE006</v>
      </c>
      <c r="B8" s="10" t="str">
        <f aca="false">IF(listes!J7="","",listes!J7)</f>
        <v>BCPST</v>
      </c>
      <c r="R8" s="6" t="n">
        <v>1</v>
      </c>
    </row>
    <row r="9" customFormat="false" ht="13.5" hidden="false" customHeight="true" outlineLevel="0" collapsed="false">
      <c r="A9" s="1" t="str">
        <f aca="false">IF(listes!I8="","",listes!I8)</f>
        <v>SPE007</v>
      </c>
      <c r="B9" s="10" t="str">
        <f aca="false">IF(listes!J8="","",listes!J8)</f>
        <v>MP2I</v>
      </c>
      <c r="R9" s="6" t="n">
        <v>1</v>
      </c>
    </row>
    <row r="10" customFormat="false" ht="13.5" hidden="false" customHeight="true" outlineLevel="0" collapsed="false">
      <c r="A10" s="1" t="str">
        <f aca="false">IF(listes!I9="","",listes!I9)</f>
        <v>SPE008</v>
      </c>
      <c r="B10" s="10" t="str">
        <f aca="false">IF(listes!J9="","",listes!J9)</f>
        <v>MPSI</v>
      </c>
      <c r="R10" s="6" t="n">
        <v>1</v>
      </c>
    </row>
    <row r="11" customFormat="false" ht="13.5" hidden="false" customHeight="true" outlineLevel="0" collapsed="false">
      <c r="A11" s="1" t="str">
        <f aca="false">IF(listes!I10="","",listes!I10)</f>
        <v>SPE009</v>
      </c>
      <c r="B11" s="10" t="str">
        <f aca="false">IF(listes!J10="","",listes!J10)</f>
        <v>PCSI</v>
      </c>
      <c r="R11" s="6" t="n">
        <v>1</v>
      </c>
    </row>
    <row r="12" customFormat="false" ht="13.5" hidden="false" customHeight="true" outlineLevel="0" collapsed="false">
      <c r="A12" s="1" t="str">
        <f aca="false">IF(listes!I11="","",listes!I11)</f>
        <v>SPE010</v>
      </c>
      <c r="B12" s="10" t="str">
        <f aca="false">IF(listes!J11="","",listes!J11)</f>
        <v>PTSI</v>
      </c>
      <c r="R12" s="6" t="n">
        <v>1</v>
      </c>
    </row>
    <row r="13" customFormat="false" ht="13.5" hidden="false" customHeight="true" outlineLevel="0" collapsed="false">
      <c r="A13" s="1" t="str">
        <f aca="false">IF(listes!I12="","",listes!I12)</f>
        <v>SPE011</v>
      </c>
      <c r="B13" s="10" t="str">
        <f aca="false">IF(listes!J12="","",listes!J12)</f>
        <v>architecture</v>
      </c>
      <c r="V13" s="6" t="n">
        <v>1</v>
      </c>
      <c r="W13" s="6" t="n">
        <v>1</v>
      </c>
      <c r="AB13" s="6" t="n">
        <v>1</v>
      </c>
    </row>
    <row r="14" customFormat="false" ht="13.5" hidden="false" customHeight="true" outlineLevel="0" collapsed="false">
      <c r="A14" s="1" t="str">
        <f aca="false">IF(listes!I13="","",listes!I13)</f>
        <v>SPE012</v>
      </c>
      <c r="B14" s="10" t="str">
        <f aca="false">IF(listes!J13="","",listes!J13)</f>
        <v>arts</v>
      </c>
      <c r="U14" s="6" t="n">
        <v>1</v>
      </c>
      <c r="V14" s="6" t="n">
        <v>1</v>
      </c>
      <c r="X14" s="6" t="n">
        <v>1</v>
      </c>
      <c r="Y14" s="6" t="n">
        <v>1</v>
      </c>
      <c r="AB14" s="6" t="n">
        <v>1</v>
      </c>
    </row>
    <row r="15" customFormat="false" ht="13.5" hidden="false" customHeight="true" outlineLevel="0" collapsed="false">
      <c r="A15" s="1" t="str">
        <f aca="false">IF(listes!I14="","",listes!I14)</f>
        <v>SPE013</v>
      </c>
      <c r="B15" s="10" t="str">
        <f aca="false">IF(listes!J14="","",listes!J14)</f>
        <v>audiovisuel</v>
      </c>
      <c r="O15" s="6" t="n">
        <v>1</v>
      </c>
      <c r="Q15" s="6" t="n">
        <v>1</v>
      </c>
      <c r="U15" s="6" t="n">
        <v>1</v>
      </c>
      <c r="V15" s="6" t="n">
        <v>1</v>
      </c>
      <c r="AE15" s="6" t="n">
        <v>1</v>
      </c>
    </row>
    <row r="16" customFormat="false" ht="13.5" hidden="false" customHeight="true" outlineLevel="0" collapsed="false">
      <c r="A16" s="1" t="str">
        <f aca="false">IF(listes!I15="","",listes!I15)</f>
        <v>SPE014</v>
      </c>
      <c r="B16" s="10" t="str">
        <f aca="false">IF(listes!J15="","",listes!J15)</f>
        <v>musique et danse</v>
      </c>
      <c r="U16" s="6" t="n">
        <v>1</v>
      </c>
      <c r="V16" s="6" t="n">
        <v>1</v>
      </c>
      <c r="W16" s="6" t="n">
        <v>1</v>
      </c>
      <c r="AA16" s="6" t="n">
        <v>1</v>
      </c>
    </row>
    <row r="17" customFormat="false" ht="13.5" hidden="false" customHeight="true" outlineLevel="0" collapsed="false">
      <c r="A17" s="1" t="str">
        <f aca="false">IF(listes!I16="","",listes!I16)</f>
        <v>SPE015</v>
      </c>
      <c r="B17" s="10" t="str">
        <f aca="false">IF(listes!J16="","",listes!J16)</f>
        <v>comédie et théatre</v>
      </c>
      <c r="U17" s="6" t="n">
        <v>1</v>
      </c>
      <c r="V17" s="6" t="n">
        <v>1</v>
      </c>
      <c r="AA17" s="6" t="n">
        <v>1</v>
      </c>
      <c r="AE17" s="6" t="n">
        <v>1</v>
      </c>
    </row>
    <row r="18" customFormat="false" ht="13.5" hidden="false" customHeight="true" outlineLevel="0" collapsed="false">
      <c r="A18" s="1" t="str">
        <f aca="false">IF(listes!I17="","",listes!I17)</f>
        <v>SPE016</v>
      </c>
      <c r="B18" s="10" t="str">
        <f aca="false">IF(listes!J17="","",listes!J17)</f>
        <v>cirque et mime</v>
      </c>
      <c r="AA18" s="6" t="n">
        <v>1</v>
      </c>
    </row>
    <row r="19" customFormat="false" ht="13.5" hidden="false" customHeight="true" outlineLevel="0" collapsed="false">
      <c r="A19" s="1" t="str">
        <f aca="false">IF(listes!I18="","",listes!I18)</f>
        <v>SPE017</v>
      </c>
      <c r="B19" s="10" t="str">
        <f aca="false">IF(listes!J18="","",listes!J18)</f>
        <v/>
      </c>
    </row>
    <row r="20" customFormat="false" ht="13.5" hidden="false" customHeight="true" outlineLevel="0" collapsed="false">
      <c r="A20" s="1" t="str">
        <f aca="false">IF(listes!I19="","",listes!I19)</f>
        <v>SPE018</v>
      </c>
      <c r="B20" s="10" t="str">
        <f aca="false">IF(listes!J19="","",listes!J19)</f>
        <v/>
      </c>
    </row>
    <row r="21" customFormat="false" ht="13.5" hidden="false" customHeight="true" outlineLevel="0" collapsed="false">
      <c r="A21" s="1" t="str">
        <f aca="false">IF(listes!I20="","",listes!I20)</f>
        <v>SPE019</v>
      </c>
      <c r="B21" s="10" t="str">
        <f aca="false">IF(listes!J20="","",listes!J20)</f>
        <v/>
      </c>
    </row>
    <row r="22" customFormat="false" ht="13.5" hidden="false" customHeight="true" outlineLevel="0" collapsed="false">
      <c r="A22" s="1" t="str">
        <f aca="false">IF(listes!I21="","",listes!I21)</f>
        <v>SPE020</v>
      </c>
      <c r="B22" s="10" t="str">
        <f aca="false">IF(listes!J21="","",listes!J21)</f>
        <v/>
      </c>
    </row>
    <row r="23" customFormat="false" ht="13.5" hidden="false" customHeight="true" outlineLevel="0" collapsed="false">
      <c r="A23" s="1" t="str">
        <f aca="false">IF(listes!I22="","",listes!I22)</f>
        <v>SPE021</v>
      </c>
      <c r="B23" s="10" t="str">
        <f aca="false">IF(listes!J22="","",listes!J22)</f>
        <v>2nde générale et technologique</v>
      </c>
      <c r="L23" s="6" t="n">
        <v>1</v>
      </c>
    </row>
    <row r="24" customFormat="false" ht="13.5" hidden="false" customHeight="true" outlineLevel="0" collapsed="false">
      <c r="A24" s="1" t="str">
        <f aca="false">IF(listes!I23="","",listes!I23)</f>
        <v>SPE022</v>
      </c>
      <c r="B24" s="10" t="str">
        <f aca="false">IF(listes!J23="","",listes!J23)</f>
        <v>voie générale</v>
      </c>
      <c r="M24" s="6" t="n">
        <v>1</v>
      </c>
      <c r="N24" s="6" t="n">
        <v>1</v>
      </c>
    </row>
    <row r="25" customFormat="false" ht="13.5" hidden="false" customHeight="true" outlineLevel="0" collapsed="false">
      <c r="A25" s="1" t="str">
        <f aca="false">IF(listes!I24="","",listes!I24)</f>
        <v>SPE023</v>
      </c>
      <c r="B25" s="10" t="str">
        <f aca="false">IF(listes!J24="","",listes!J24)</f>
        <v>STMG</v>
      </c>
      <c r="M25" s="6" t="n">
        <v>1</v>
      </c>
      <c r="N25" s="6" t="n">
        <v>1</v>
      </c>
    </row>
    <row r="26" customFormat="false" ht="13.5" hidden="false" customHeight="true" outlineLevel="0" collapsed="false">
      <c r="A26" s="1" t="str">
        <f aca="false">IF(listes!I25="","",listes!I25)</f>
        <v>SPE024</v>
      </c>
      <c r="B26" s="10" t="str">
        <f aca="false">IF(listes!J25="","",listes!J25)</f>
        <v>STI2D</v>
      </c>
      <c r="M26" s="6" t="n">
        <v>1</v>
      </c>
      <c r="N26" s="6" t="n">
        <v>1</v>
      </c>
    </row>
    <row r="27" customFormat="false" ht="13.5" hidden="false" customHeight="true" outlineLevel="0" collapsed="false">
      <c r="A27" s="1" t="str">
        <f aca="false">IF(listes!I26="","",listes!I26)</f>
        <v>SPE025</v>
      </c>
      <c r="B27" s="10" t="str">
        <f aca="false">IF(listes!J26="","",listes!J26)</f>
        <v>STL</v>
      </c>
      <c r="M27" s="6" t="n">
        <v>1</v>
      </c>
      <c r="N27" s="6" t="n">
        <v>1</v>
      </c>
    </row>
    <row r="28" customFormat="false" ht="13.5" hidden="false" customHeight="true" outlineLevel="0" collapsed="false">
      <c r="A28" s="1" t="str">
        <f aca="false">IF(listes!I27="","",listes!I27)</f>
        <v>SPE026</v>
      </c>
      <c r="B28" s="10" t="str">
        <f aca="false">IF(listes!J27="","",listes!J27)</f>
        <v>ST2S</v>
      </c>
      <c r="M28" s="6" t="n">
        <v>1</v>
      </c>
      <c r="N28" s="6" t="n">
        <v>1</v>
      </c>
    </row>
    <row r="29" customFormat="false" ht="13.5" hidden="false" customHeight="true" outlineLevel="0" collapsed="false">
      <c r="A29" s="1" t="str">
        <f aca="false">IF(listes!I28="","",listes!I28)</f>
        <v>SPE027</v>
      </c>
      <c r="B29" s="10" t="str">
        <f aca="false">IF(listes!J28="","",listes!J28)</f>
        <v>STD2A</v>
      </c>
      <c r="M29" s="6" t="n">
        <v>1</v>
      </c>
      <c r="N29" s="6" t="n">
        <v>1</v>
      </c>
    </row>
    <row r="30" customFormat="false" ht="13.5" hidden="false" customHeight="true" outlineLevel="0" collapsed="false">
      <c r="A30" s="1" t="str">
        <f aca="false">IF(listes!I29="","",listes!I29)</f>
        <v>SPE028</v>
      </c>
      <c r="B30" s="10" t="str">
        <f aca="false">IF(listes!J29="","",listes!J29)</f>
        <v>STHR</v>
      </c>
      <c r="M30" s="6" t="n">
        <v>1</v>
      </c>
      <c r="N30" s="6" t="n">
        <v>1</v>
      </c>
    </row>
    <row r="31" customFormat="false" ht="13.5" hidden="false" customHeight="true" outlineLevel="0" collapsed="false">
      <c r="A31" s="1" t="str">
        <f aca="false">IF(listes!I30="","",listes!I30)</f>
        <v>SPE029</v>
      </c>
      <c r="B31" s="10" t="str">
        <f aca="false">IF(listes!J30="","",listes!J30)</f>
        <v>S2TMD</v>
      </c>
      <c r="M31" s="6" t="n">
        <v>1</v>
      </c>
      <c r="N31" s="6" t="n">
        <v>1</v>
      </c>
    </row>
    <row r="32" customFormat="false" ht="13.5" hidden="false" customHeight="true" outlineLevel="0" collapsed="false">
      <c r="A32" s="1" t="str">
        <f aca="false">IF(listes!I31="","",listes!I31)</f>
        <v>SPE030</v>
      </c>
      <c r="B32" s="10" t="str">
        <f aca="false">IF(listes!J31="","",listes!J31)</f>
        <v>STAV</v>
      </c>
      <c r="M32" s="6" t="n">
        <v>1</v>
      </c>
      <c r="N32" s="6" t="n">
        <v>1</v>
      </c>
    </row>
    <row r="33" customFormat="false" ht="13.5" hidden="false" customHeight="true" outlineLevel="0" collapsed="false">
      <c r="A33" s="1" t="str">
        <f aca="false">IF(listes!I32="","",listes!I32)</f>
        <v>SPE031</v>
      </c>
      <c r="B33" s="10" t="str">
        <f aca="false">IF(listes!J32="","",listes!J32)</f>
        <v>bac pro – production</v>
      </c>
      <c r="L33" s="6" t="n">
        <v>1</v>
      </c>
      <c r="M33" s="6" t="n">
        <v>1</v>
      </c>
      <c r="N33" s="6" t="n">
        <v>1</v>
      </c>
    </row>
    <row r="34" customFormat="false" ht="13.5" hidden="false" customHeight="true" outlineLevel="0" collapsed="false">
      <c r="A34" s="1" t="str">
        <f aca="false">IF(listes!I33="","",listes!I33)</f>
        <v>SPE032</v>
      </c>
      <c r="B34" s="10" t="str">
        <f aca="false">IF(listes!J33="","",listes!J33)</f>
        <v>bac pro – services</v>
      </c>
      <c r="L34" s="6" t="n">
        <v>1</v>
      </c>
      <c r="M34" s="6" t="n">
        <v>1</v>
      </c>
      <c r="N34" s="6" t="n">
        <v>1</v>
      </c>
    </row>
    <row r="35" customFormat="false" ht="13.5" hidden="false" customHeight="true" outlineLevel="0" collapsed="false">
      <c r="A35" s="1" t="str">
        <f aca="false">IF(listes!I34="","",listes!I34)</f>
        <v>SPE033</v>
      </c>
      <c r="B35" s="10" t="str">
        <f aca="false">IF(listes!J34="","",listes!J34)</f>
        <v>CAP</v>
      </c>
      <c r="AJ35" s="6" t="n">
        <v>1</v>
      </c>
    </row>
    <row r="36" customFormat="false" ht="13.5" hidden="false" customHeight="true" outlineLevel="0" collapsed="false">
      <c r="A36" s="1" t="str">
        <f aca="false">IF(listes!I35="","",listes!I35)</f>
        <v>SPE034</v>
      </c>
      <c r="B36" s="10" t="str">
        <f aca="false">IF(listes!J35="","",listes!J35)</f>
        <v>MP</v>
      </c>
      <c r="R36" s="6" t="n">
        <v>1</v>
      </c>
    </row>
    <row r="37" customFormat="false" ht="13.5" hidden="false" customHeight="true" outlineLevel="0" collapsed="false">
      <c r="A37" s="1" t="str">
        <f aca="false">IF(listes!I36="","",listes!I36)</f>
        <v>SPE035</v>
      </c>
      <c r="B37" s="10" t="str">
        <f aca="false">IF(listes!J36="","",listes!J36)</f>
        <v>MPI</v>
      </c>
      <c r="R37" s="6" t="n">
        <v>1</v>
      </c>
    </row>
    <row r="38" customFormat="false" ht="13.5" hidden="false" customHeight="true" outlineLevel="0" collapsed="false">
      <c r="A38" s="1" t="str">
        <f aca="false">IF(listes!I37="","",listes!I37)</f>
        <v>SPE036</v>
      </c>
      <c r="B38" s="10" t="str">
        <f aca="false">IF(listes!J37="","",listes!J37)</f>
        <v>PC</v>
      </c>
      <c r="R38" s="6" t="n">
        <v>1</v>
      </c>
    </row>
    <row r="39" customFormat="false" ht="13.5" hidden="false" customHeight="true" outlineLevel="0" collapsed="false">
      <c r="A39" s="1" t="str">
        <f aca="false">IF(listes!I38="","",listes!I38)</f>
        <v>SPE037</v>
      </c>
      <c r="B39" s="10" t="str">
        <f aca="false">IF(listes!J38="","",listes!J38)</f>
        <v>PSI</v>
      </c>
      <c r="R39" s="6" t="n">
        <v>1</v>
      </c>
    </row>
    <row r="40" customFormat="false" ht="13.5" hidden="false" customHeight="true" outlineLevel="0" collapsed="false">
      <c r="A40" s="1" t="str">
        <f aca="false">IF(listes!I39="","",listes!I39)</f>
        <v>SPE038</v>
      </c>
      <c r="B40" s="10" t="str">
        <f aca="false">IF(listes!J39="","",listes!J39)</f>
        <v>PT</v>
      </c>
      <c r="R40" s="6" t="n">
        <v>1</v>
      </c>
    </row>
    <row r="41" customFormat="false" ht="13.5" hidden="false" customHeight="true" outlineLevel="0" collapsed="false">
      <c r="A41" s="1" t="str">
        <f aca="false">IF(listes!I40="","",listes!I40)</f>
        <v>SPE039</v>
      </c>
      <c r="B41" s="10" t="str">
        <f aca="false">IF(listes!J40="","",listes!J40)</f>
        <v>TSI</v>
      </c>
      <c r="R41" s="6" t="n">
        <v>1</v>
      </c>
    </row>
    <row r="42" customFormat="false" ht="13.5" hidden="false" customHeight="true" outlineLevel="0" collapsed="false">
      <c r="A42" s="1" t="str">
        <f aca="false">IF(listes!I41="","",listes!I41)</f>
        <v>SPE040</v>
      </c>
      <c r="B42" s="10" t="str">
        <f aca="false">IF(listes!J41="","",listes!J41)</f>
        <v>TB</v>
      </c>
      <c r="R42" s="6" t="n">
        <v>1</v>
      </c>
    </row>
    <row r="43" customFormat="false" ht="13.5" hidden="false" customHeight="true" outlineLevel="0" collapsed="false">
      <c r="A43" s="1" t="str">
        <f aca="false">IF(listes!I42="","",listes!I42)</f>
        <v>SPE041</v>
      </c>
      <c r="B43" s="10" t="str">
        <f aca="false">IF(listes!J42="","",listes!J42)</f>
        <v>ATS</v>
      </c>
      <c r="R43" s="6" t="n">
        <v>1</v>
      </c>
    </row>
    <row r="44" customFormat="false" ht="13.5" hidden="false" customHeight="true" outlineLevel="0" collapsed="false">
      <c r="A44" s="1" t="str">
        <f aca="false">IF(listes!I43="","",listes!I43)</f>
        <v>SPE042</v>
      </c>
      <c r="B44" s="10" t="str">
        <f aca="false">IF(listes!J43="","",listes!J43)</f>
        <v>ECG</v>
      </c>
      <c r="R44" s="6" t="n">
        <v>1</v>
      </c>
    </row>
    <row r="45" customFormat="false" ht="13.5" hidden="false" customHeight="true" outlineLevel="0" collapsed="false">
      <c r="A45" s="1" t="str">
        <f aca="false">IF(listes!I44="","",listes!I44)</f>
        <v>SPE043</v>
      </c>
      <c r="B45" s="10" t="str">
        <f aca="false">IF(listes!J44="","",listes!J44)</f>
        <v>ECT</v>
      </c>
      <c r="R45" s="6" t="n">
        <v>1</v>
      </c>
    </row>
    <row r="46" customFormat="false" ht="13.5" hidden="false" customHeight="true" outlineLevel="0" collapsed="false">
      <c r="A46" s="1" t="str">
        <f aca="false">IF(listes!I45="","",listes!I45)</f>
        <v>SPE044</v>
      </c>
      <c r="B46" s="10" t="str">
        <f aca="false">IF(listes!J45="","",listes!J45)</f>
        <v>ENS D1 (droit-économie)</v>
      </c>
      <c r="R46" s="6" t="n">
        <v>1</v>
      </c>
    </row>
    <row r="47" customFormat="false" ht="13.5" hidden="false" customHeight="true" outlineLevel="0" collapsed="false">
      <c r="A47" s="1" t="str">
        <f aca="false">IF(listes!I46="","",listes!I46)</f>
        <v>SPE045</v>
      </c>
      <c r="B47" s="10" t="str">
        <f aca="false">IF(listes!J46="","",listes!J46)</f>
        <v>ENS D2 (économie-gestion)</v>
      </c>
      <c r="R47" s="6" t="n">
        <v>1</v>
      </c>
    </row>
    <row r="48" customFormat="false" ht="13.5" hidden="false" customHeight="true" outlineLevel="0" collapsed="false">
      <c r="A48" s="1" t="str">
        <f aca="false">IF(listes!I47="","",listes!I47)</f>
        <v>SPE046</v>
      </c>
      <c r="B48" s="10" t="str">
        <f aca="false">IF(listes!J47="","",listes!J47)</f>
        <v>accès santé (PASS / LAS)</v>
      </c>
      <c r="U48" s="6" t="n">
        <v>1</v>
      </c>
      <c r="AK48" s="6" t="n">
        <v>1</v>
      </c>
    </row>
    <row r="49" customFormat="false" ht="13.5" hidden="false" customHeight="true" outlineLevel="0" collapsed="false">
      <c r="A49" s="1" t="str">
        <f aca="false">IF(listes!I48="","",listes!I48)</f>
        <v>SPE047</v>
      </c>
      <c r="B49" s="10" t="str">
        <f aca="false">IF(listes!J48="","",listes!J48)</f>
        <v>médecine</v>
      </c>
      <c r="W49" s="6" t="n">
        <v>1</v>
      </c>
      <c r="AB49" s="6" t="n">
        <v>1</v>
      </c>
    </row>
    <row r="50" customFormat="false" ht="13.5" hidden="false" customHeight="true" outlineLevel="0" collapsed="false">
      <c r="A50" s="1" t="str">
        <f aca="false">IF(listes!I49="","",listes!I49)</f>
        <v>SPE048</v>
      </c>
      <c r="B50" s="10" t="str">
        <f aca="false">IF(listes!J49="","",listes!J49)</f>
        <v>pharmacie</v>
      </c>
      <c r="W50" s="6" t="n">
        <v>1</v>
      </c>
      <c r="AB50" s="6" t="n">
        <v>1</v>
      </c>
    </row>
    <row r="51" customFormat="false" ht="13.5" hidden="false" customHeight="true" outlineLevel="0" collapsed="false">
      <c r="A51" s="1" t="str">
        <f aca="false">IF(listes!I50="","",listes!I50)</f>
        <v>SPE049</v>
      </c>
      <c r="B51" s="10" t="str">
        <f aca="false">IF(listes!J50="","",listes!J50)</f>
        <v>odontologie</v>
      </c>
      <c r="W51" s="6" t="n">
        <v>1</v>
      </c>
      <c r="AB51" s="6" t="n">
        <v>1</v>
      </c>
    </row>
    <row r="52" customFormat="false" ht="13.5" hidden="false" customHeight="true" outlineLevel="0" collapsed="false">
      <c r="A52" s="1" t="str">
        <f aca="false">IF(listes!I51="","",listes!I51)</f>
        <v>SPE050</v>
      </c>
      <c r="B52" s="10" t="str">
        <f aca="false">IF(listes!J51="","",listes!J51)</f>
        <v>maïeutique (sage-femme)</v>
      </c>
      <c r="W52" s="6" t="n">
        <v>1</v>
      </c>
    </row>
    <row r="53" customFormat="false" ht="13.5" hidden="false" customHeight="true" outlineLevel="0" collapsed="false">
      <c r="A53" s="1" t="str">
        <f aca="false">IF(listes!I52="","",listes!I52)</f>
        <v>SPE051</v>
      </c>
      <c r="B53" s="10" t="str">
        <f aca="false">IF(listes!J52="","",listes!J52)</f>
        <v>soins infirmiers</v>
      </c>
      <c r="W53" s="6" t="n">
        <v>1</v>
      </c>
    </row>
    <row r="54" customFormat="false" ht="13.5" hidden="false" customHeight="true" outlineLevel="0" collapsed="false">
      <c r="A54" s="1" t="str">
        <f aca="false">IF(listes!I53="","",listes!I53)</f>
        <v>SPE052</v>
      </c>
      <c r="B54" s="10" t="str">
        <f aca="false">IF(listes!J53="","",listes!J53)</f>
        <v>kinésithérapie</v>
      </c>
      <c r="W54" s="6" t="n">
        <v>1</v>
      </c>
    </row>
    <row r="55" customFormat="false" ht="13.5" hidden="false" customHeight="true" outlineLevel="0" collapsed="false">
      <c r="A55" s="1" t="str">
        <f aca="false">IF(listes!I54="","",listes!I54)</f>
        <v>SPE053</v>
      </c>
      <c r="B55" s="10" t="str">
        <f aca="false">IF(listes!J54="","",listes!J54)</f>
        <v>médecine vétérinaire</v>
      </c>
      <c r="W55" s="6" t="n">
        <v>1</v>
      </c>
      <c r="AB55" s="6" t="n">
        <v>1</v>
      </c>
    </row>
    <row r="56" customFormat="false" ht="13.5" hidden="false" customHeight="true" outlineLevel="0" collapsed="false">
      <c r="A56" s="1" t="str">
        <f aca="false">IF(listes!I55="","",listes!I55)</f>
        <v>SPE054</v>
      </c>
      <c r="B56" s="10" t="str">
        <f aca="false">IF(listes!J55="","",listes!J55)</f>
        <v>travail social</v>
      </c>
      <c r="O56" s="6" t="n">
        <v>1</v>
      </c>
      <c r="Q56" s="6" t="n">
        <v>1</v>
      </c>
      <c r="W56" s="6" t="n">
        <v>1</v>
      </c>
      <c r="AC56" s="6" t="n">
        <v>1</v>
      </c>
    </row>
    <row r="57" customFormat="false" ht="13.5" hidden="false" customHeight="true" outlineLevel="0" collapsed="false">
      <c r="A57" s="1" t="str">
        <f aca="false">IF(listes!I56="","",listes!I56)</f>
        <v>SPE055</v>
      </c>
      <c r="B57" s="10" t="str">
        <f aca="false">IF(listes!J56="","",listes!J56)</f>
        <v>mathématiques</v>
      </c>
      <c r="Q57" s="6" t="n">
        <v>1</v>
      </c>
      <c r="U57" s="6" t="n">
        <v>1</v>
      </c>
      <c r="V57" s="6" t="n">
        <v>1</v>
      </c>
      <c r="AB57" s="6" t="n">
        <v>1</v>
      </c>
    </row>
    <row r="58" customFormat="false" ht="13.5" hidden="false" customHeight="true" outlineLevel="0" collapsed="false">
      <c r="A58" s="1" t="str">
        <f aca="false">IF(listes!I57="","",listes!I57)</f>
        <v>SPE056</v>
      </c>
      <c r="B58" s="10" t="str">
        <f aca="false">IF(listes!J57="","",listes!J57)</f>
        <v>informatique</v>
      </c>
      <c r="O58" s="6" t="n">
        <v>1</v>
      </c>
      <c r="Q58" s="6" t="n">
        <v>1</v>
      </c>
      <c r="S58" s="6" t="n">
        <v>1</v>
      </c>
      <c r="U58" s="6" t="n">
        <v>1</v>
      </c>
      <c r="V58" s="6" t="n">
        <v>1</v>
      </c>
      <c r="AB58" s="6" t="n">
        <v>1</v>
      </c>
      <c r="AC58" s="6" t="n">
        <v>1</v>
      </c>
      <c r="AD58" s="6" t="n">
        <v>1</v>
      </c>
      <c r="AI58" s="6" t="n">
        <v>1</v>
      </c>
    </row>
    <row r="59" customFormat="false" ht="13.5" hidden="false" customHeight="true" outlineLevel="0" collapsed="false">
      <c r="A59" s="1" t="str">
        <f aca="false">IF(listes!I58="","",listes!I58)</f>
        <v>SPE057</v>
      </c>
      <c r="B59" s="10" t="str">
        <f aca="false">IF(listes!J58="","",listes!J58)</f>
        <v>physique-chimie</v>
      </c>
      <c r="Q59" s="6" t="n">
        <v>1</v>
      </c>
      <c r="U59" s="6" t="n">
        <v>1</v>
      </c>
      <c r="V59" s="6" t="n">
        <v>1</v>
      </c>
      <c r="AB59" s="6" t="n">
        <v>1</v>
      </c>
    </row>
    <row r="60" customFormat="false" ht="13.5" hidden="false" customHeight="true" outlineLevel="0" collapsed="false">
      <c r="A60" s="1" t="str">
        <f aca="false">IF(listes!I59="","",listes!I59)</f>
        <v>SPE058</v>
      </c>
      <c r="B60" s="10" t="str">
        <f aca="false">IF(listes!J59="","",listes!J59)</f>
        <v>sciences de la vie</v>
      </c>
      <c r="O60" s="6" t="n">
        <v>1</v>
      </c>
      <c r="Q60" s="6" t="n">
        <v>1</v>
      </c>
      <c r="S60" s="6" t="n">
        <v>1</v>
      </c>
      <c r="U60" s="6" t="n">
        <v>1</v>
      </c>
      <c r="V60" s="6" t="n">
        <v>1</v>
      </c>
      <c r="AB60" s="6" t="n">
        <v>1</v>
      </c>
    </row>
    <row r="61" customFormat="false" ht="13.5" hidden="false" customHeight="true" outlineLevel="0" collapsed="false">
      <c r="A61" s="1" t="str">
        <f aca="false">IF(listes!I60="","",listes!I60)</f>
        <v>SPE059</v>
      </c>
      <c r="B61" s="10" t="str">
        <f aca="false">IF(listes!J60="","",listes!J60)</f>
        <v>sciences de la Terre et environnement</v>
      </c>
      <c r="Q61" s="6" t="n">
        <v>1</v>
      </c>
      <c r="U61" s="6" t="n">
        <v>1</v>
      </c>
      <c r="V61" s="6" t="n">
        <v>1</v>
      </c>
      <c r="AB61" s="6" t="n">
        <v>1</v>
      </c>
    </row>
    <row r="62" customFormat="false" ht="13.5" hidden="false" customHeight="true" outlineLevel="0" collapsed="false">
      <c r="A62" s="1" t="str">
        <f aca="false">IF(listes!I61="","",listes!I61)</f>
        <v>SPE060</v>
      </c>
      <c r="B62" s="10" t="str">
        <f aca="false">IF(listes!J61="","",listes!J61)</f>
        <v>génie mécanique et industriel</v>
      </c>
      <c r="O62" s="6" t="n">
        <v>1</v>
      </c>
      <c r="Q62" s="6" t="n">
        <v>1</v>
      </c>
      <c r="S62" s="6" t="n">
        <v>1</v>
      </c>
      <c r="V62" s="6" t="n">
        <v>1</v>
      </c>
      <c r="AC62" s="6" t="n">
        <v>1</v>
      </c>
    </row>
    <row r="63" customFormat="false" ht="13.5" hidden="false" customHeight="true" outlineLevel="0" collapsed="false">
      <c r="A63" s="1" t="str">
        <f aca="false">IF(listes!I62="","",listes!I62)</f>
        <v>SPE061</v>
      </c>
      <c r="B63" s="10" t="str">
        <f aca="false">IF(listes!J62="","",listes!J62)</f>
        <v>génie électrique et électronique</v>
      </c>
      <c r="O63" s="6" t="n">
        <v>1</v>
      </c>
      <c r="Q63" s="6" t="n">
        <v>1</v>
      </c>
      <c r="S63" s="6" t="n">
        <v>1</v>
      </c>
      <c r="V63" s="6" t="n">
        <v>1</v>
      </c>
      <c r="AC63" s="6" t="n">
        <v>1</v>
      </c>
    </row>
    <row r="64" customFormat="false" ht="13.5" hidden="false" customHeight="true" outlineLevel="0" collapsed="false">
      <c r="A64" s="1" t="str">
        <f aca="false">IF(listes!I63="","",listes!I63)</f>
        <v>SPE062</v>
      </c>
      <c r="B64" s="10" t="str">
        <f aca="false">IF(listes!J63="","",listes!J63)</f>
        <v>génie civil et BTP</v>
      </c>
      <c r="O64" s="6" t="n">
        <v>1</v>
      </c>
      <c r="Q64" s="6" t="n">
        <v>1</v>
      </c>
      <c r="S64" s="6" t="n">
        <v>1</v>
      </c>
      <c r="V64" s="6" t="n">
        <v>1</v>
      </c>
      <c r="AC64" s="6" t="n">
        <v>1</v>
      </c>
    </row>
    <row r="65" customFormat="false" ht="13.5" hidden="false" customHeight="true" outlineLevel="0" collapsed="false">
      <c r="A65" s="1" t="str">
        <f aca="false">IF(listes!I64="","",listes!I64)</f>
        <v>SPE063</v>
      </c>
      <c r="B65" s="10" t="str">
        <f aca="false">IF(listes!J64="","",listes!J64)</f>
        <v>chimie et génie des procédés</v>
      </c>
      <c r="O65" s="6" t="n">
        <v>1</v>
      </c>
      <c r="Q65" s="6" t="n">
        <v>1</v>
      </c>
      <c r="S65" s="6" t="n">
        <v>1</v>
      </c>
      <c r="U65" s="6" t="n">
        <v>1</v>
      </c>
      <c r="V65" s="6" t="n">
        <v>1</v>
      </c>
    </row>
    <row r="66" customFormat="false" ht="13.5" hidden="false" customHeight="true" outlineLevel="0" collapsed="false">
      <c r="A66" s="1" t="str">
        <f aca="false">IF(listes!I65="","",listes!I65)</f>
        <v>SPE064</v>
      </c>
      <c r="B66" s="10" t="str">
        <f aca="false">IF(listes!J65="","",listes!J65)</f>
        <v>ingénierie généraliste</v>
      </c>
      <c r="S66" s="6" t="n">
        <v>1</v>
      </c>
    </row>
    <row r="67" customFormat="false" ht="13.5" hidden="false" customHeight="true" outlineLevel="0" collapsed="false">
      <c r="A67" s="1" t="str">
        <f aca="false">IF(listes!I66="","",listes!I66)</f>
        <v>SPE065</v>
      </c>
      <c r="B67" s="10" t="str">
        <f aca="false">IF(listes!J66="","",listes!J66)</f>
        <v>agronomie et agriculture</v>
      </c>
      <c r="P67" s="6" t="n">
        <v>1</v>
      </c>
      <c r="S67" s="6" t="n">
        <v>1</v>
      </c>
      <c r="V67" s="6" t="n">
        <v>1</v>
      </c>
      <c r="AC67" s="6" t="n">
        <v>1</v>
      </c>
      <c r="AH67" s="6" t="n">
        <v>1</v>
      </c>
    </row>
    <row r="68" customFormat="false" ht="13.5" hidden="false" customHeight="true" outlineLevel="0" collapsed="false">
      <c r="A68" s="1" t="str">
        <f aca="false">IF(listes!I67="","",listes!I67)</f>
        <v>SPE066</v>
      </c>
      <c r="B68" s="10" t="str">
        <f aca="false">IF(listes!J67="","",listes!J67)</f>
        <v>droit</v>
      </c>
      <c r="Q68" s="6" t="n">
        <v>1</v>
      </c>
      <c r="U68" s="6" t="n">
        <v>1</v>
      </c>
      <c r="V68" s="6" t="n">
        <v>1</v>
      </c>
      <c r="AB68" s="6" t="n">
        <v>1</v>
      </c>
    </row>
    <row r="69" customFormat="false" ht="13.5" hidden="false" customHeight="true" outlineLevel="0" collapsed="false">
      <c r="A69" s="1" t="str">
        <f aca="false">IF(listes!I68="","",listes!I68)</f>
        <v>SPE067</v>
      </c>
      <c r="B69" s="10" t="str">
        <f aca="false">IF(listes!J68="","",listes!J68)</f>
        <v>science politique</v>
      </c>
      <c r="U69" s="6" t="n">
        <v>1</v>
      </c>
      <c r="V69" s="6" t="n">
        <v>1</v>
      </c>
      <c r="AB69" s="6" t="n">
        <v>1</v>
      </c>
      <c r="AE69" s="6" t="n">
        <v>1</v>
      </c>
    </row>
    <row r="70" customFormat="false" ht="13.5" hidden="false" customHeight="true" outlineLevel="0" collapsed="false">
      <c r="A70" s="1" t="str">
        <f aca="false">IF(listes!I69="","",listes!I69)</f>
        <v>SPE068</v>
      </c>
      <c r="B70" s="10" t="str">
        <f aca="false">IF(listes!J69="","",listes!J69)</f>
        <v>économie</v>
      </c>
      <c r="U70" s="6" t="n">
        <v>1</v>
      </c>
      <c r="V70" s="6" t="n">
        <v>1</v>
      </c>
      <c r="AB70" s="6" t="n">
        <v>1</v>
      </c>
    </row>
    <row r="71" customFormat="false" ht="13.5" hidden="false" customHeight="true" outlineLevel="0" collapsed="false">
      <c r="A71" s="1" t="str">
        <f aca="false">IF(listes!I70="","",listes!I70)</f>
        <v>SPE069</v>
      </c>
      <c r="B71" s="10" t="str">
        <f aca="false">IF(listes!J70="","",listes!J70)</f>
        <v>gestion et management</v>
      </c>
      <c r="O71" s="6" t="n">
        <v>1</v>
      </c>
      <c r="Q71" s="6" t="n">
        <v>1</v>
      </c>
      <c r="T71" s="6" t="n">
        <v>1</v>
      </c>
      <c r="U71" s="6" t="n">
        <v>1</v>
      </c>
      <c r="V71" s="6" t="n">
        <v>1</v>
      </c>
      <c r="AC71" s="6" t="n">
        <v>1</v>
      </c>
      <c r="AI71" s="6" t="n">
        <v>1</v>
      </c>
    </row>
    <row r="72" customFormat="false" ht="13.5" hidden="false" customHeight="true" outlineLevel="0" collapsed="false">
      <c r="A72" s="1" t="str">
        <f aca="false">IF(listes!I71="","",listes!I71)</f>
        <v>SPE070</v>
      </c>
      <c r="B72" s="10" t="str">
        <f aca="false">IF(listes!J71="","",listes!J71)</f>
        <v>comptabilité et finance</v>
      </c>
      <c r="O72" s="6" t="n">
        <v>1</v>
      </c>
      <c r="Q72" s="6" t="n">
        <v>1</v>
      </c>
      <c r="T72" s="6" t="n">
        <v>1</v>
      </c>
      <c r="V72" s="6" t="n">
        <v>1</v>
      </c>
      <c r="AC72" s="6" t="n">
        <v>1</v>
      </c>
      <c r="AG72" s="6" t="n">
        <v>1</v>
      </c>
      <c r="AL72" s="6" t="n">
        <v>1</v>
      </c>
    </row>
    <row r="73" customFormat="false" ht="13.5" hidden="false" customHeight="true" outlineLevel="0" collapsed="false">
      <c r="A73" s="1" t="str">
        <f aca="false">IF(listes!I72="","",listes!I72)</f>
        <v>SPE071</v>
      </c>
      <c r="B73" s="10" t="str">
        <f aca="false">IF(listes!J72="","",listes!J72)</f>
        <v>commerce, marketing et vente</v>
      </c>
      <c r="O73" s="6" t="n">
        <v>1</v>
      </c>
      <c r="Q73" s="6" t="n">
        <v>1</v>
      </c>
      <c r="T73" s="6" t="n">
        <v>1</v>
      </c>
      <c r="V73" s="6" t="n">
        <v>1</v>
      </c>
      <c r="AC73" s="6" t="n">
        <v>1</v>
      </c>
      <c r="AI73" s="6" t="n">
        <v>1</v>
      </c>
    </row>
    <row r="74" customFormat="false" ht="13.5" hidden="false" customHeight="true" outlineLevel="0" collapsed="false">
      <c r="A74" s="1" t="str">
        <f aca="false">IF(listes!I73="","",listes!I73)</f>
        <v>SPE072</v>
      </c>
      <c r="B74" s="10" t="str">
        <f aca="false">IF(listes!J73="","",listes!J73)</f>
        <v>commerce international</v>
      </c>
      <c r="O74" s="6" t="n">
        <v>1</v>
      </c>
      <c r="T74" s="6" t="n">
        <v>1</v>
      </c>
      <c r="V74" s="6" t="n">
        <v>1</v>
      </c>
      <c r="AI74" s="6" t="n">
        <v>1</v>
      </c>
    </row>
    <row r="75" customFormat="false" ht="13.5" hidden="false" customHeight="true" outlineLevel="0" collapsed="false">
      <c r="A75" s="1" t="str">
        <f aca="false">IF(listes!I74="","",listes!I74)</f>
        <v>SPE073</v>
      </c>
      <c r="B75" s="10" t="str">
        <f aca="false">IF(listes!J74="","",listes!J74)</f>
        <v>ressources humaines</v>
      </c>
      <c r="Q75" s="6" t="n">
        <v>1</v>
      </c>
      <c r="T75" s="6" t="n">
        <v>1</v>
      </c>
      <c r="V75" s="6" t="n">
        <v>1</v>
      </c>
      <c r="AC75" s="6" t="n">
        <v>1</v>
      </c>
    </row>
    <row r="76" customFormat="false" ht="13.5" hidden="false" customHeight="true" outlineLevel="0" collapsed="false">
      <c r="A76" s="1" t="str">
        <f aca="false">IF(listes!I75="","",listes!I75)</f>
        <v>SPE074</v>
      </c>
      <c r="B76" s="10" t="str">
        <f aca="false">IF(listes!J75="","",listes!J75)</f>
        <v>transport et logistique</v>
      </c>
      <c r="O76" s="6" t="n">
        <v>1</v>
      </c>
      <c r="Q76" s="6" t="n">
        <v>1</v>
      </c>
      <c r="V76" s="6" t="n">
        <v>1</v>
      </c>
      <c r="AC76" s="6" t="n">
        <v>1</v>
      </c>
    </row>
    <row r="77" customFormat="false" ht="13.5" hidden="false" customHeight="true" outlineLevel="0" collapsed="false">
      <c r="A77" s="1" t="str">
        <f aca="false">IF(listes!I76="","",listes!I76)</f>
        <v>SPE075</v>
      </c>
      <c r="B77" s="10" t="str">
        <f aca="false">IF(listes!J76="","",listes!J76)</f>
        <v>banque, assurance et immobilier</v>
      </c>
      <c r="O77" s="6" t="n">
        <v>1</v>
      </c>
      <c r="V77" s="6" t="n">
        <v>1</v>
      </c>
      <c r="AC77" s="6" t="n">
        <v>1</v>
      </c>
      <c r="AI77" s="6" t="n">
        <v>1</v>
      </c>
    </row>
    <row r="78" customFormat="false" ht="13.5" hidden="false" customHeight="true" outlineLevel="0" collapsed="false">
      <c r="A78" s="1" t="str">
        <f aca="false">IF(listes!I77="","",listes!I77)</f>
        <v>SPE076</v>
      </c>
      <c r="B78" s="10" t="str">
        <f aca="false">IF(listes!J77="","",listes!J77)</f>
        <v>tourisme, hôtellerie et restauration</v>
      </c>
      <c r="O78" s="6" t="n">
        <v>1</v>
      </c>
      <c r="V78" s="6" t="n">
        <v>1</v>
      </c>
      <c r="AC78" s="6" t="n">
        <v>1</v>
      </c>
      <c r="AI78" s="6" t="n">
        <v>1</v>
      </c>
    </row>
    <row r="79" customFormat="false" ht="13.5" hidden="false" customHeight="true" outlineLevel="0" collapsed="false">
      <c r="A79" s="1" t="str">
        <f aca="false">IF(listes!I78="","",listes!I78)</f>
        <v>SPE077</v>
      </c>
      <c r="B79" s="10" t="str">
        <f aca="false">IF(listes!J78="","",listes!J78)</f>
        <v>communication et information</v>
      </c>
      <c r="O79" s="6" t="n">
        <v>1</v>
      </c>
      <c r="Q79" s="6" t="n">
        <v>1</v>
      </c>
      <c r="T79" s="6" t="n">
        <v>1</v>
      </c>
      <c r="U79" s="6" t="n">
        <v>1</v>
      </c>
      <c r="V79" s="6" t="n">
        <v>1</v>
      </c>
      <c r="AI79" s="6" t="n">
        <v>1</v>
      </c>
    </row>
    <row r="80" customFormat="false" ht="13.5" hidden="false" customHeight="true" outlineLevel="0" collapsed="false">
      <c r="A80" s="1" t="str">
        <f aca="false">IF(listes!I79="","",listes!I79)</f>
        <v>SPE078</v>
      </c>
      <c r="B80" s="10" t="str">
        <f aca="false">IF(listes!J79="","",listes!J79)</f>
        <v>journalisme</v>
      </c>
      <c r="Q80" s="6" t="n">
        <v>1</v>
      </c>
      <c r="V80" s="6" t="n">
        <v>1</v>
      </c>
      <c r="AE80" s="6" t="n">
        <v>1</v>
      </c>
    </row>
    <row r="81" customFormat="false" ht="13.5" hidden="false" customHeight="true" outlineLevel="0" collapsed="false">
      <c r="A81" s="1" t="str">
        <f aca="false">IF(listes!I80="","",listes!I80)</f>
        <v>SPE079</v>
      </c>
      <c r="B81" s="10" t="str">
        <f aca="false">IF(listes!J80="","",listes!J80)</f>
        <v>langues étrangères (LLCER)</v>
      </c>
      <c r="U81" s="6" t="n">
        <v>1</v>
      </c>
      <c r="V81" s="6" t="n">
        <v>1</v>
      </c>
      <c r="AB81" s="6" t="n">
        <v>1</v>
      </c>
    </row>
    <row r="82" customFormat="false" ht="13.5" hidden="false" customHeight="true" outlineLevel="0" collapsed="false">
      <c r="A82" s="1" t="str">
        <f aca="false">IF(listes!I81="","",listes!I81)</f>
        <v>SPE080</v>
      </c>
      <c r="B82" s="10" t="str">
        <f aca="false">IF(listes!J81="","",listes!J81)</f>
        <v>langues étrangères appliquées (LEA)</v>
      </c>
      <c r="U82" s="6" t="n">
        <v>1</v>
      </c>
      <c r="V82" s="6" t="n">
        <v>1</v>
      </c>
    </row>
    <row r="83" customFormat="false" ht="13.5" hidden="false" customHeight="true" outlineLevel="0" collapsed="false">
      <c r="A83" s="1" t="str">
        <f aca="false">IF(listes!I82="","",listes!I82)</f>
        <v>SPE081</v>
      </c>
      <c r="B83" s="10" t="str">
        <f aca="false">IF(listes!J82="","",listes!J82)</f>
        <v>histoire</v>
      </c>
      <c r="U83" s="6" t="n">
        <v>1</v>
      </c>
      <c r="V83" s="6" t="n">
        <v>1</v>
      </c>
      <c r="AB83" s="6" t="n">
        <v>1</v>
      </c>
    </row>
    <row r="84" customFormat="false" ht="13.5" hidden="false" customHeight="true" outlineLevel="0" collapsed="false">
      <c r="A84" s="1" t="str">
        <f aca="false">IF(listes!I83="","",listes!I83)</f>
        <v>SPE082</v>
      </c>
      <c r="B84" s="10" t="str">
        <f aca="false">IF(listes!J83="","",listes!J83)</f>
        <v>géographie et aménagement</v>
      </c>
      <c r="U84" s="6" t="n">
        <v>1</v>
      </c>
      <c r="V84" s="6" t="n">
        <v>1</v>
      </c>
      <c r="AB84" s="6" t="n">
        <v>1</v>
      </c>
    </row>
    <row r="85" customFormat="false" ht="13.5" hidden="false" customHeight="true" outlineLevel="0" collapsed="false">
      <c r="A85" s="1" t="str">
        <f aca="false">IF(listes!I84="","",listes!I84)</f>
        <v>SPE083</v>
      </c>
      <c r="B85" s="10" t="str">
        <f aca="false">IF(listes!J84="","",listes!J84)</f>
        <v>philosophie</v>
      </c>
      <c r="U85" s="6" t="n">
        <v>1</v>
      </c>
      <c r="V85" s="6" t="n">
        <v>1</v>
      </c>
      <c r="AB85" s="6" t="n">
        <v>1</v>
      </c>
    </row>
    <row r="86" customFormat="false" ht="13.5" hidden="false" customHeight="true" outlineLevel="0" collapsed="false">
      <c r="A86" s="1" t="str">
        <f aca="false">IF(listes!I85="","",listes!I85)</f>
        <v>SPE084</v>
      </c>
      <c r="B86" s="10" t="str">
        <f aca="false">IF(listes!J85="","",listes!J85)</f>
        <v>sociologie</v>
      </c>
      <c r="U86" s="6" t="n">
        <v>1</v>
      </c>
      <c r="V86" s="6" t="n">
        <v>1</v>
      </c>
      <c r="AB86" s="6" t="n">
        <v>1</v>
      </c>
    </row>
    <row r="87" customFormat="false" ht="13.5" hidden="false" customHeight="true" outlineLevel="0" collapsed="false">
      <c r="A87" s="1" t="str">
        <f aca="false">IF(listes!I86="","",listes!I86)</f>
        <v>SPE085</v>
      </c>
      <c r="B87" s="10" t="str">
        <f aca="false">IF(listes!J86="","",listes!J86)</f>
        <v>psychologie</v>
      </c>
      <c r="U87" s="6" t="n">
        <v>1</v>
      </c>
      <c r="V87" s="6" t="n">
        <v>1</v>
      </c>
      <c r="AB87" s="6" t="n">
        <v>1</v>
      </c>
    </row>
    <row r="88" customFormat="false" ht="13.5" hidden="false" customHeight="true" outlineLevel="0" collapsed="false">
      <c r="A88" s="1" t="str">
        <f aca="false">IF(listes!I87="","",listes!I87)</f>
        <v>SPE086</v>
      </c>
      <c r="B88" s="10" t="str">
        <f aca="false">IF(listes!J87="","",listes!J87)</f>
        <v>sciences de l'éducation et enseignement (MEEF)</v>
      </c>
      <c r="U88" s="6" t="n">
        <v>1</v>
      </c>
      <c r="V88" s="6" t="n">
        <v>1</v>
      </c>
    </row>
    <row r="89" customFormat="false" ht="13.5" hidden="false" customHeight="true" outlineLevel="0" collapsed="false">
      <c r="A89" s="1" t="str">
        <f aca="false">IF(listes!I88="","",listes!I88)</f>
        <v>SPE087</v>
      </c>
      <c r="B89" s="10" t="str">
        <f aca="false">IF(listes!J88="","",listes!J88)</f>
        <v>STAPS</v>
      </c>
      <c r="U89" s="6" t="n">
        <v>1</v>
      </c>
      <c r="V89" s="6" t="n">
        <v>1</v>
      </c>
      <c r="AC89" s="6" t="n">
        <v>1</v>
      </c>
      <c r="AD89" s="6" t="n">
        <v>1</v>
      </c>
    </row>
    <row r="90" customFormat="false" ht="13.5" hidden="false" customHeight="true" outlineLevel="0" collapsed="false">
      <c r="A90" s="1" t="str">
        <f aca="false">IF(listes!I89="","",listes!I89)</f>
        <v>SPE088</v>
      </c>
      <c r="B90" s="10" t="str">
        <f aca="false">IF(listes!J89="","",listes!J89)</f>
        <v>design</v>
      </c>
      <c r="O90" s="6" t="n">
        <v>1</v>
      </c>
      <c r="V90" s="6" t="n">
        <v>1</v>
      </c>
      <c r="X90" s="6" t="n">
        <v>1</v>
      </c>
      <c r="AE90" s="6" t="n">
        <v>1</v>
      </c>
      <c r="AF90" s="6" t="n">
        <v>1</v>
      </c>
    </row>
    <row r="91" customFormat="false" ht="13.5" hidden="false" customHeight="true" outlineLevel="0" collapsed="false">
      <c r="A91" s="1" t="str">
        <f aca="false">IF(listes!I90="","",listes!I90)</f>
        <v>SPE089</v>
      </c>
      <c r="B91" s="10" t="str">
        <f aca="false">IF(listes!J90="","",listes!J90)</f>
        <v>préparation aux concours</v>
      </c>
      <c r="Z91" s="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30" topLeftCell="A1" activePane="bottomLeft" state="split"/>
      <selection pane="topLeft" activeCell="A1" activeCellId="0" sqref="A1"/>
      <selection pane="bottomLeft" activeCell="K28" activeCellId="0" sqref="K28"/>
    </sheetView>
  </sheetViews>
  <sheetFormatPr defaultColWidth="10.6640625" defaultRowHeight="13.5" zeroHeight="false" outlineLevelRow="0" outlineLevelCol="0"/>
  <cols>
    <col collapsed="false" customWidth="false" hidden="false" outlineLevel="0" max="1" min="1" style="6" width="10.66"/>
    <col collapsed="false" customWidth="true" hidden="false" outlineLevel="0" max="2" min="2" style="6" width="17.08"/>
    <col collapsed="false" customWidth="true" hidden="false" outlineLevel="0" max="13" min="3" style="6" width="7.33"/>
    <col collapsed="false" customWidth="true" hidden="false" outlineLevel="0" max="14" min="14" style="6" width="8"/>
    <col collapsed="false" customWidth="true" hidden="false" outlineLevel="0" max="18" min="15" style="6" width="7.33"/>
    <col collapsed="false" customWidth="true" hidden="false" outlineLevel="0" max="19" min="19" style="6" width="15"/>
    <col collapsed="false" customWidth="true" hidden="false" outlineLevel="0" max="20" min="20" style="6" width="16.66"/>
    <col collapsed="false" customWidth="true" hidden="false" outlineLevel="0" max="21" min="21" style="6" width="7.33"/>
    <col collapsed="false" customWidth="false" hidden="false" outlineLevel="0" max="22" min="22" style="6" width="10.66"/>
    <col collapsed="false" customWidth="true" hidden="false" outlineLevel="0" max="23" min="23" style="6" width="16.17"/>
    <col collapsed="false" customWidth="false" hidden="false" outlineLevel="0" max="16384" min="24" style="6" width="10.66"/>
  </cols>
  <sheetData>
    <row r="1" customFormat="false" ht="13.5" hidden="false" customHeight="true" outlineLevel="0" collapsed="false">
      <c r="A1" s="7"/>
      <c r="B1" s="8"/>
      <c r="C1" s="6" t="str">
        <f aca="false" t="array" ref="C1:AR2">TRANSPOSE(listes!E2:F43)</f>
        <v>NIV001</v>
      </c>
      <c r="D1" s="6" t="str">
        <v>NIV002</v>
      </c>
      <c r="E1" s="6" t="str">
        <v>NIV003</v>
      </c>
      <c r="F1" s="6" t="str">
        <v>NIV004</v>
      </c>
      <c r="G1" s="6" t="str">
        <v>NIV005</v>
      </c>
      <c r="H1" s="6" t="str">
        <v>NIV006</v>
      </c>
      <c r="I1" s="6" t="str">
        <v>NIV007</v>
      </c>
      <c r="J1" s="6" t="str">
        <v>NIV008</v>
      </c>
      <c r="K1" s="6" t="str">
        <v>NIV009</v>
      </c>
      <c r="L1" s="6" t="str">
        <v>NIV010</v>
      </c>
      <c r="M1" s="6" t="str">
        <v>NIV011</v>
      </c>
      <c r="N1" s="6" t="str">
        <v>NIV012</v>
      </c>
      <c r="O1" s="6" t="str">
        <v>NIV013</v>
      </c>
      <c r="P1" s="6" t="str">
        <v>NIV014</v>
      </c>
      <c r="Q1" s="6" t="str">
        <v>NIV015</v>
      </c>
      <c r="R1" s="6" t="str">
        <v>NIV016</v>
      </c>
      <c r="S1" s="6" t="str">
        <v>NIV017</v>
      </c>
      <c r="T1" s="6" t="str">
        <v>NIV018</v>
      </c>
      <c r="U1" s="6" t="str">
        <v>NIV019</v>
      </c>
      <c r="V1" s="6" t="str">
        <v>NIV020</v>
      </c>
      <c r="W1" s="6" t="str">
        <v>NIV021</v>
      </c>
      <c r="X1" s="6" t="str">
        <v>NIV022</v>
      </c>
      <c r="Y1" s="6" t="str">
        <v>NIV023</v>
      </c>
      <c r="Z1" s="6" t="str">
        <v>NIV024</v>
      </c>
      <c r="AA1" s="6" t="str">
        <v>NIV025</v>
      </c>
      <c r="AB1" s="6" t="str">
        <v>NIV026</v>
      </c>
      <c r="AC1" s="6" t="str">
        <v>NIV027</v>
      </c>
      <c r="AD1" s="6" t="str">
        <v>NIV028</v>
      </c>
      <c r="AE1" s="6" t="str">
        <v>NIV029</v>
      </c>
      <c r="AF1" s="6" t="str">
        <v>NIV030</v>
      </c>
      <c r="AG1" s="6" t="str">
        <v>NIV031</v>
      </c>
      <c r="AH1" s="6" t="str">
        <v>NIV032</v>
      </c>
      <c r="AI1" s="6" t="str">
        <v>NIV033</v>
      </c>
      <c r="AJ1" s="6" t="str">
        <v>NIV034</v>
      </c>
      <c r="AK1" s="6" t="str">
        <v>NIV035</v>
      </c>
      <c r="AL1" s="6" t="str">
        <v>NIV036</v>
      </c>
      <c r="AM1" s="6" t="n">
        <v>0</v>
      </c>
      <c r="AN1" s="6" t="n">
        <v>0</v>
      </c>
      <c r="AO1" s="6" t="n">
        <v>0</v>
      </c>
      <c r="AP1" s="6" t="n">
        <v>0</v>
      </c>
      <c r="AQ1" s="6" t="n">
        <v>0</v>
      </c>
      <c r="AR1" s="6" t="n">
        <v>0</v>
      </c>
    </row>
    <row r="2" customFormat="false" ht="13.5" hidden="false" customHeight="true" outlineLevel="0" collapsed="false">
      <c r="A2" s="3" t="str">
        <f aca="false">IF(listes!G1="","",listes!G1)</f>
        <v>id</v>
      </c>
      <c r="B2" s="3" t="str">
        <f aca="false">IF(listes!H1="","",listes!H1)</f>
        <v>années</v>
      </c>
      <c r="C2" s="6" t="str">
        <v>CP</v>
      </c>
      <c r="D2" s="6" t="str">
        <v>CE1</v>
      </c>
      <c r="E2" s="6" t="str">
        <v>CE2</v>
      </c>
      <c r="F2" s="6" t="str">
        <v>CM1</v>
      </c>
      <c r="G2" s="6" t="str">
        <v>CM2</v>
      </c>
      <c r="H2" s="6" t="str">
        <v>6ème</v>
      </c>
      <c r="I2" s="6" t="str">
        <v>5ème</v>
      </c>
      <c r="J2" s="6" t="str">
        <v>4ème</v>
      </c>
      <c r="K2" s="6" t="str">
        <v>3ème</v>
      </c>
      <c r="L2" s="6" t="str">
        <v>2nde</v>
      </c>
      <c r="M2" s="6" t="str">
        <v>1ère</v>
      </c>
      <c r="N2" s="6" t="str">
        <v>terminale</v>
      </c>
      <c r="O2" s="6" t="str">
        <v>BTS</v>
      </c>
      <c r="P2" s="6" t="str">
        <v>BTSA</v>
      </c>
      <c r="Q2" s="6" t="str">
        <v>BUT</v>
      </c>
      <c r="R2" s="6" t="str">
        <v>CPGE</v>
      </c>
      <c r="S2" s="6" t="str">
        <v>école d'ingénieurs</v>
      </c>
      <c r="T2" s="6" t="str">
        <v>école de commerce</v>
      </c>
      <c r="U2" s="6" t="str">
        <v>licence</v>
      </c>
      <c r="V2" s="6" t="str">
        <v>master</v>
      </c>
      <c r="W2" s="6" t="str">
        <v>DE (diplôme d'état)</v>
      </c>
      <c r="X2" s="6" t="str">
        <v>DN MADE</v>
      </c>
      <c r="Y2" s="6" t="str">
        <v>DNA</v>
      </c>
      <c r="Z2" s="6" t="str">
        <v>non diplomant</v>
      </c>
      <c r="AA2" s="6" t="str">
        <v>DNSP</v>
      </c>
      <c r="AB2" s="6" t="str">
        <v>doctorat</v>
      </c>
      <c r="AC2" s="6" t="str">
        <v>licence professionnelle</v>
      </c>
      <c r="AD2" s="6" t="str">
        <v>DEUST</v>
      </c>
      <c r="AE2" s="6" t="str">
        <v>Diplôme d'école</v>
      </c>
      <c r="AF2" s="6" t="str">
        <v>DSAA</v>
      </c>
      <c r="AG2" s="6" t="str">
        <v>DCG</v>
      </c>
      <c r="AH2" s="6" t="str">
        <v>bachelor agro</v>
      </c>
      <c r="AI2" s="6" t="str">
        <v>bachelor</v>
      </c>
      <c r="AJ2" s="6" t="str">
        <v>CAP</v>
      </c>
      <c r="AK2" s="6" t="str">
        <v>PASS</v>
      </c>
      <c r="AL2" s="6" t="str">
        <v>DSCG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</row>
    <row r="3" customFormat="false" ht="13.5" hidden="false" customHeight="true" outlineLevel="0" collapsed="false">
      <c r="A3" s="1" t="str">
        <f aca="false">IF(listes!G2="","",listes!G2)</f>
        <v>ANN001</v>
      </c>
      <c r="B3" s="1" t="str">
        <f aca="false">IF(listes!H2="","",listes!H2)</f>
        <v>bac+1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>
        <v>1</v>
      </c>
      <c r="U3" s="6" t="n">
        <v>1</v>
      </c>
      <c r="W3" s="6" t="n">
        <v>1</v>
      </c>
      <c r="X3" s="6" t="n">
        <v>1</v>
      </c>
      <c r="Y3" s="6" t="n">
        <v>1</v>
      </c>
      <c r="AA3" s="6" t="n">
        <v>1</v>
      </c>
      <c r="AD3" s="6" t="n">
        <v>1</v>
      </c>
      <c r="AE3" s="6" t="n">
        <v>1</v>
      </c>
      <c r="AG3" s="6" t="n">
        <v>1</v>
      </c>
      <c r="AH3" s="6" t="n">
        <v>1</v>
      </c>
      <c r="AI3" s="6" t="n">
        <v>1</v>
      </c>
      <c r="AK3" s="6" t="n">
        <v>1</v>
      </c>
    </row>
    <row r="4" customFormat="false" ht="13.5" hidden="false" customHeight="true" outlineLevel="0" collapsed="false">
      <c r="A4" s="1" t="str">
        <f aca="false">IF(listes!G3="","",listes!G3)</f>
        <v>ANN002</v>
      </c>
      <c r="B4" s="1" t="str">
        <f aca="false">IF(listes!H3="","",listes!H3)</f>
        <v>bac+2</v>
      </c>
      <c r="O4" s="6" t="n">
        <v>1</v>
      </c>
      <c r="P4" s="6" t="n">
        <v>1</v>
      </c>
      <c r="Q4" s="6" t="n">
        <v>1</v>
      </c>
      <c r="R4" s="6" t="n">
        <v>1</v>
      </c>
      <c r="S4" s="6" t="n">
        <v>1</v>
      </c>
      <c r="T4" s="6" t="n">
        <v>1</v>
      </c>
      <c r="U4" s="6" t="n">
        <v>1</v>
      </c>
      <c r="W4" s="6" t="n">
        <v>1</v>
      </c>
      <c r="X4" s="6" t="n">
        <v>1</v>
      </c>
      <c r="Y4" s="6" t="n">
        <v>1</v>
      </c>
      <c r="AA4" s="6" t="n">
        <v>1</v>
      </c>
      <c r="AD4" s="6" t="n">
        <v>1</v>
      </c>
      <c r="AE4" s="6" t="n">
        <v>1</v>
      </c>
      <c r="AG4" s="6" t="n">
        <v>1</v>
      </c>
      <c r="AH4" s="6" t="n">
        <v>1</v>
      </c>
      <c r="AI4" s="6" t="n">
        <v>1</v>
      </c>
    </row>
    <row r="5" customFormat="false" ht="13.5" hidden="false" customHeight="true" outlineLevel="0" collapsed="false">
      <c r="A5" s="1" t="str">
        <f aca="false">IF(listes!G4="","",listes!G4)</f>
        <v>ANN003</v>
      </c>
      <c r="B5" s="1" t="str">
        <f aca="false">IF(listes!H4="","",listes!H4)</f>
        <v>bac+3</v>
      </c>
      <c r="Q5" s="6" t="n">
        <v>1</v>
      </c>
      <c r="S5" s="6" t="n">
        <v>1</v>
      </c>
      <c r="T5" s="6" t="n">
        <v>1</v>
      </c>
      <c r="U5" s="6" t="n">
        <v>1</v>
      </c>
      <c r="W5" s="6" t="n">
        <v>1</v>
      </c>
      <c r="X5" s="6" t="n">
        <v>1</v>
      </c>
      <c r="Y5" s="6" t="n">
        <v>1</v>
      </c>
      <c r="AA5" s="6" t="n">
        <v>1</v>
      </c>
      <c r="AC5" s="6" t="n">
        <v>1</v>
      </c>
      <c r="AE5" s="6" t="n">
        <v>1</v>
      </c>
      <c r="AG5" s="6" t="n">
        <v>1</v>
      </c>
      <c r="AH5" s="6" t="n">
        <v>1</v>
      </c>
      <c r="AI5" s="6" t="n">
        <v>1</v>
      </c>
    </row>
    <row r="6" customFormat="false" ht="13.5" hidden="false" customHeight="true" outlineLevel="0" collapsed="false">
      <c r="A6" s="1" t="str">
        <f aca="false">IF(listes!G5="","",listes!G5)</f>
        <v>ANN004</v>
      </c>
      <c r="B6" s="1" t="str">
        <f aca="false">IF(listes!H5="","",listes!H5)</f>
        <v>bac+4</v>
      </c>
      <c r="S6" s="6" t="n">
        <v>1</v>
      </c>
      <c r="T6" s="6" t="n">
        <v>1</v>
      </c>
      <c r="V6" s="6" t="n">
        <v>1</v>
      </c>
      <c r="W6" s="6" t="n">
        <v>1</v>
      </c>
      <c r="AE6" s="6" t="n">
        <v>1</v>
      </c>
      <c r="AF6" s="6" t="n">
        <v>1</v>
      </c>
      <c r="AL6" s="6" t="n">
        <v>1</v>
      </c>
    </row>
    <row r="7" customFormat="false" ht="13.5" hidden="false" customHeight="true" outlineLevel="0" collapsed="false">
      <c r="A7" s="1" t="str">
        <f aca="false">IF(listes!G6="","",listes!G6)</f>
        <v>ANN005</v>
      </c>
      <c r="B7" s="1" t="str">
        <f aca="false">IF(listes!H6="","",listes!H6)</f>
        <v>bac+5</v>
      </c>
      <c r="S7" s="6" t="n">
        <v>1</v>
      </c>
      <c r="T7" s="6" t="n">
        <v>1</v>
      </c>
      <c r="V7" s="6" t="n">
        <v>1</v>
      </c>
      <c r="W7" s="6" t="n">
        <v>1</v>
      </c>
      <c r="AE7" s="6" t="n">
        <v>1</v>
      </c>
      <c r="AF7" s="6" t="n">
        <v>1</v>
      </c>
      <c r="AL7" s="6" t="n">
        <v>1</v>
      </c>
    </row>
    <row r="8" customFormat="false" ht="13.5" hidden="false" customHeight="true" outlineLevel="0" collapsed="false">
      <c r="A8" s="1" t="str">
        <f aca="false">IF(listes!G7="","",listes!G7)</f>
        <v>ANN006</v>
      </c>
      <c r="B8" s="1" t="str">
        <f aca="false">IF(listes!H7="","",listes!H7)</f>
        <v>bac+6</v>
      </c>
      <c r="W8" s="6" t="n">
        <v>1</v>
      </c>
      <c r="AB8" s="6" t="n">
        <v>1</v>
      </c>
    </row>
    <row r="9" customFormat="false" ht="13.5" hidden="false" customHeight="true" outlineLevel="0" collapsed="false">
      <c r="A9" s="1" t="str">
        <f aca="false">IF(listes!G8="","",listes!G8)</f>
        <v>ANN007</v>
      </c>
      <c r="B9" s="1" t="str">
        <f aca="false">IF(listes!H8="","",listes!H8)</f>
        <v>bac+7</v>
      </c>
      <c r="W9" s="6" t="n">
        <v>1</v>
      </c>
      <c r="AB9" s="6" t="n">
        <v>1</v>
      </c>
    </row>
    <row r="10" customFormat="false" ht="13.5" hidden="false" customHeight="true" outlineLevel="0" collapsed="false">
      <c r="A10" s="1" t="str">
        <f aca="false">IF(listes!G9="","",listes!G9)</f>
        <v>ANN008</v>
      </c>
      <c r="B10" s="1" t="str">
        <f aca="false">IF(listes!H9="","",listes!H9)</f>
        <v>bac+8</v>
      </c>
      <c r="W10" s="6" t="n">
        <v>1</v>
      </c>
      <c r="AB10" s="6" t="n">
        <v>1</v>
      </c>
    </row>
    <row r="11" customFormat="false" ht="13.5" hidden="false" customHeight="true" outlineLevel="0" collapsed="false">
      <c r="A11" s="1" t="str">
        <f aca="false">IF(listes!G10="","",listes!G10)</f>
        <v>ANN009</v>
      </c>
      <c r="B11" s="1" t="str">
        <f aca="false">IF(listes!H10="","",listes!H10)</f>
        <v>bac+9</v>
      </c>
      <c r="W11" s="6" t="n">
        <v>1</v>
      </c>
    </row>
    <row r="12" customFormat="false" ht="13.5" hidden="false" customHeight="true" outlineLevel="0" collapsed="false">
      <c r="A12" s="1" t="str">
        <f aca="false">IF(listes!G11="","",listes!G11)</f>
        <v>ANN010</v>
      </c>
      <c r="B12" s="1" t="str">
        <f aca="false">IF(listes!H11="","",listes!H11)</f>
        <v>bac+10</v>
      </c>
      <c r="W12" s="6" t="n">
        <v>1</v>
      </c>
    </row>
    <row r="13" customFormat="false" ht="13.5" hidden="false" customHeight="true" outlineLevel="0" collapsed="false">
      <c r="A13" s="1" t="str">
        <f aca="false">IF(listes!G12="","",listes!G12)</f>
        <v>ANN011</v>
      </c>
      <c r="B13" s="1" t="str">
        <f aca="false">IF(listes!H12="","",listes!H12)</f>
        <v>bac+11</v>
      </c>
      <c r="W13" s="6" t="n">
        <v>1</v>
      </c>
    </row>
    <row r="14" customFormat="false" ht="13.5" hidden="false" customHeight="true" outlineLevel="0" collapsed="false">
      <c r="A14" s="1" t="str">
        <f aca="false">IF(listes!G13="","",listes!G13)</f>
        <v>ANN012</v>
      </c>
      <c r="B14" s="1" t="str">
        <f aca="false">IF(listes!H13="","",listes!H13)</f>
        <v>bac+12</v>
      </c>
      <c r="W14" s="6" t="n">
        <v>1</v>
      </c>
    </row>
    <row r="15" customFormat="false" ht="13.5" hidden="false" customHeight="true" outlineLevel="0" collapsed="false">
      <c r="A15" s="1"/>
      <c r="B15" s="1"/>
    </row>
    <row r="16" customFormat="false" ht="13.5" hidden="false" customHeight="true" outlineLevel="0" collapsed="false">
      <c r="A16" s="1"/>
      <c r="B16" s="1"/>
    </row>
    <row r="17" customFormat="false" ht="13.5" hidden="false" customHeight="true" outlineLevel="0" collapsed="false">
      <c r="A17" s="1"/>
      <c r="B17" s="1"/>
    </row>
    <row r="18" customFormat="false" ht="13.5" hidden="false" customHeight="true" outlineLevel="0" collapsed="false">
      <c r="A18" s="1"/>
      <c r="B18" s="1"/>
    </row>
    <row r="19" customFormat="false" ht="13.5" hidden="false" customHeight="true" outlineLevel="0" collapsed="false">
      <c r="A19" s="1"/>
      <c r="B19" s="1"/>
    </row>
    <row r="20" customFormat="false" ht="13.5" hidden="false" customHeight="true" outlineLevel="0" collapsed="false">
      <c r="A20" s="1"/>
      <c r="B20" s="1"/>
    </row>
    <row r="21" customFormat="false" ht="13.5" hidden="false" customHeight="true" outlineLevel="0" collapsed="false">
      <c r="A21" s="1"/>
      <c r="B21" s="1"/>
    </row>
    <row r="22" customFormat="false" ht="13.5" hidden="false" customHeight="true" outlineLevel="0" collapsed="false">
      <c r="A22" s="1"/>
      <c r="B22" s="1"/>
    </row>
    <row r="23" customFormat="false" ht="13.5" hidden="false" customHeight="true" outlineLevel="0" collapsed="false">
      <c r="A23" s="1"/>
      <c r="B23" s="1"/>
    </row>
    <row r="24" customFormat="false" ht="13.5" hidden="false" customHeight="true" outlineLevel="0" collapsed="false">
      <c r="A24" s="1"/>
      <c r="B24" s="1"/>
    </row>
    <row r="25" customFormat="false" ht="13.5" hidden="false" customHeight="true" outlineLevel="0" collapsed="false">
      <c r="A25" s="1"/>
      <c r="B25" s="1"/>
    </row>
    <row r="26" customFormat="false" ht="13.5" hidden="false" customHeight="true" outlineLevel="0" collapsed="false">
      <c r="A26" s="1"/>
      <c r="B26" s="1"/>
    </row>
    <row r="27" customFormat="false" ht="13.5" hidden="false" customHeight="true" outlineLevel="0" collapsed="false">
      <c r="A27" s="1"/>
      <c r="B2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28" activeCellId="0" sqref="E28"/>
    </sheetView>
  </sheetViews>
  <sheetFormatPr defaultColWidth="10.6640625" defaultRowHeight="13.5" zeroHeight="false" outlineLevelRow="0" outlineLevelCol="0"/>
  <cols>
    <col collapsed="false" customWidth="false" hidden="false" outlineLevel="0" max="1" min="1" style="6" width="10.66"/>
    <col collapsed="false" customWidth="true" hidden="false" outlineLevel="0" max="2" min="2" style="9" width="17.08"/>
    <col collapsed="false" customWidth="true" hidden="false" outlineLevel="0" max="13" min="3" style="6" width="7.33"/>
    <col collapsed="false" customWidth="true" hidden="false" outlineLevel="0" max="14" min="14" style="6" width="8"/>
    <col collapsed="false" customWidth="true" hidden="false" outlineLevel="0" max="18" min="15" style="6" width="7.33"/>
    <col collapsed="false" customWidth="true" hidden="false" outlineLevel="0" max="19" min="19" style="6" width="15"/>
    <col collapsed="false" customWidth="true" hidden="false" outlineLevel="0" max="20" min="20" style="6" width="16.66"/>
    <col collapsed="false" customWidth="true" hidden="false" outlineLevel="0" max="21" min="21" style="6" width="7.33"/>
    <col collapsed="false" customWidth="false" hidden="false" outlineLevel="0" max="22" min="22" style="6" width="10.66"/>
    <col collapsed="false" customWidth="true" hidden="false" outlineLevel="0" max="23" min="23" style="6" width="16.17"/>
    <col collapsed="false" customWidth="false" hidden="false" outlineLevel="0" max="16384" min="24" style="6" width="10.66"/>
  </cols>
  <sheetData>
    <row r="1" customFormat="false" ht="13.5" hidden="false" customHeight="true" outlineLevel="0" collapsed="false">
      <c r="A1" s="7"/>
      <c r="B1" s="8"/>
      <c r="C1" s="6" t="str">
        <f aca="false" t="array" ref="C1:CS2">TRANSPOSE(listes!I2:J96)</f>
        <v>SPE001</v>
      </c>
      <c r="D1" s="6" t="str">
        <v>SPE002</v>
      </c>
      <c r="E1" s="6" t="str">
        <v>SPE003</v>
      </c>
      <c r="F1" s="6" t="str">
        <v>SPE004</v>
      </c>
      <c r="G1" s="6" t="str">
        <v>SPE005</v>
      </c>
      <c r="H1" s="6" t="str">
        <v>SPE006</v>
      </c>
      <c r="I1" s="6" t="str">
        <v>SPE007</v>
      </c>
      <c r="J1" s="6" t="str">
        <v>SPE008</v>
      </c>
      <c r="K1" s="6" t="str">
        <v>SPE009</v>
      </c>
      <c r="L1" s="6" t="str">
        <v>SPE010</v>
      </c>
      <c r="M1" s="6" t="str">
        <v>SPE011</v>
      </c>
      <c r="N1" s="6" t="str">
        <v>SPE012</v>
      </c>
      <c r="O1" s="6" t="str">
        <v>SPE013</v>
      </c>
      <c r="P1" s="6" t="str">
        <v>SPE014</v>
      </c>
      <c r="Q1" s="6" t="str">
        <v>SPE015</v>
      </c>
      <c r="R1" s="6" t="str">
        <v>SPE016</v>
      </c>
      <c r="S1" s="6" t="str">
        <v>SPE017</v>
      </c>
      <c r="T1" s="6" t="str">
        <v>SPE018</v>
      </c>
      <c r="U1" s="6" t="str">
        <v>SPE019</v>
      </c>
      <c r="V1" s="6" t="str">
        <v>SPE020</v>
      </c>
      <c r="W1" s="6" t="str">
        <v>SPE021</v>
      </c>
      <c r="X1" s="6" t="str">
        <v>SPE022</v>
      </c>
      <c r="Y1" s="6" t="str">
        <v>SPE023</v>
      </c>
      <c r="Z1" s="6" t="str">
        <v>SPE024</v>
      </c>
      <c r="AA1" s="6" t="str">
        <v>SPE025</v>
      </c>
      <c r="AB1" s="6" t="str">
        <v>SPE026</v>
      </c>
      <c r="AC1" s="6" t="str">
        <v>SPE027</v>
      </c>
      <c r="AD1" s="6" t="str">
        <v>SPE028</v>
      </c>
      <c r="AE1" s="6" t="str">
        <v>SPE029</v>
      </c>
      <c r="AF1" s="6" t="str">
        <v>SPE030</v>
      </c>
      <c r="AG1" s="6" t="str">
        <v>SPE031</v>
      </c>
      <c r="AH1" s="6" t="str">
        <v>SPE032</v>
      </c>
      <c r="AI1" s="6" t="str">
        <v>SPE033</v>
      </c>
      <c r="AJ1" s="6" t="str">
        <v>SPE034</v>
      </c>
      <c r="AK1" s="6" t="str">
        <v>SPE035</v>
      </c>
      <c r="AL1" s="6" t="str">
        <v>SPE036</v>
      </c>
      <c r="AM1" s="6" t="str">
        <v>SPE037</v>
      </c>
      <c r="AN1" s="6" t="str">
        <v>SPE038</v>
      </c>
      <c r="AO1" s="6" t="str">
        <v>SPE039</v>
      </c>
      <c r="AP1" s="6" t="str">
        <v>SPE040</v>
      </c>
      <c r="AQ1" s="6" t="str">
        <v>SPE041</v>
      </c>
      <c r="AR1" s="6" t="str">
        <v>SPE042</v>
      </c>
      <c r="AS1" s="6" t="str">
        <v>SPE043</v>
      </c>
      <c r="AT1" s="6" t="str">
        <v>SPE044</v>
      </c>
      <c r="AU1" s="6" t="str">
        <v>SPE045</v>
      </c>
      <c r="AV1" s="6" t="str">
        <v>SPE046</v>
      </c>
      <c r="AW1" s="6" t="str">
        <v>SPE047</v>
      </c>
      <c r="AX1" s="6" t="str">
        <v>SPE048</v>
      </c>
      <c r="AY1" s="6" t="str">
        <v>SPE049</v>
      </c>
      <c r="AZ1" s="6" t="str">
        <v>SPE050</v>
      </c>
      <c r="BA1" s="6" t="str">
        <v>SPE051</v>
      </c>
      <c r="BB1" s="6" t="str">
        <v>SPE052</v>
      </c>
      <c r="BC1" s="6" t="str">
        <v>SPE053</v>
      </c>
      <c r="BD1" s="6" t="str">
        <v>SPE054</v>
      </c>
      <c r="BE1" s="6" t="str">
        <v>SPE055</v>
      </c>
      <c r="BF1" s="6" t="str">
        <v>SPE056</v>
      </c>
      <c r="BG1" s="6" t="str">
        <v>SPE057</v>
      </c>
      <c r="BH1" s="6" t="str">
        <v>SPE058</v>
      </c>
      <c r="BI1" s="6" t="str">
        <v>SPE059</v>
      </c>
      <c r="BJ1" s="6" t="str">
        <v>SPE060</v>
      </c>
      <c r="BK1" s="6" t="str">
        <v>SPE061</v>
      </c>
      <c r="BL1" s="6" t="str">
        <v>SPE062</v>
      </c>
      <c r="BM1" s="6" t="str">
        <v>SPE063</v>
      </c>
      <c r="BN1" s="6" t="str">
        <v>SPE064</v>
      </c>
      <c r="BO1" s="6" t="str">
        <v>SPE065</v>
      </c>
      <c r="BP1" s="6" t="str">
        <v>SPE066</v>
      </c>
      <c r="BQ1" s="6" t="str">
        <v>SPE067</v>
      </c>
      <c r="BR1" s="6" t="str">
        <v>SPE068</v>
      </c>
      <c r="BS1" s="6" t="str">
        <v>SPE069</v>
      </c>
      <c r="BT1" s="6" t="str">
        <v>SPE070</v>
      </c>
      <c r="BU1" s="6" t="str">
        <v>SPE071</v>
      </c>
      <c r="BV1" s="6" t="str">
        <v>SPE072</v>
      </c>
      <c r="BW1" s="6" t="str">
        <v>SPE073</v>
      </c>
      <c r="BX1" s="6" t="str">
        <v>SPE074</v>
      </c>
      <c r="BY1" s="6" t="str">
        <v>SPE075</v>
      </c>
      <c r="BZ1" s="6" t="str">
        <v>SPE076</v>
      </c>
      <c r="CA1" s="6" t="str">
        <v>SPE077</v>
      </c>
      <c r="CB1" s="6" t="str">
        <v>SPE078</v>
      </c>
      <c r="CC1" s="6" t="str">
        <v>SPE079</v>
      </c>
      <c r="CD1" s="6" t="str">
        <v>SPE080</v>
      </c>
      <c r="CE1" s="6" t="str">
        <v>SPE081</v>
      </c>
      <c r="CF1" s="6" t="str">
        <v>SPE082</v>
      </c>
      <c r="CG1" s="6" t="str">
        <v>SPE083</v>
      </c>
      <c r="CH1" s="6" t="str">
        <v>SPE084</v>
      </c>
      <c r="CI1" s="6" t="str">
        <v>SPE085</v>
      </c>
      <c r="CJ1" s="6" t="str">
        <v>SPE086</v>
      </c>
      <c r="CK1" s="6" t="str">
        <v>SPE087</v>
      </c>
      <c r="CL1" s="6" t="str">
        <v>SPE088</v>
      </c>
      <c r="CM1" s="6" t="str">
        <v>SPE089</v>
      </c>
      <c r="CN1" s="6" t="n">
        <v>0</v>
      </c>
      <c r="CO1" s="6" t="n">
        <v>0</v>
      </c>
      <c r="CP1" s="6" t="n">
        <v>0</v>
      </c>
      <c r="CQ1" s="6" t="n">
        <v>0</v>
      </c>
      <c r="CR1" s="6" t="n">
        <v>0</v>
      </c>
      <c r="CS1" s="6" t="n">
        <v>0</v>
      </c>
    </row>
    <row r="2" customFormat="false" ht="13.5" hidden="false" customHeight="true" outlineLevel="0" collapsed="false">
      <c r="A2" s="3" t="str">
        <f aca="false">IF(listes!K1="","",listes!K1)</f>
        <v>id</v>
      </c>
      <c r="B2" s="8" t="str">
        <f aca="false">IF(listes!L1="","",listes!L1)</f>
        <v>matières</v>
      </c>
      <c r="C2" s="6" t="str">
        <v>Chartes</v>
      </c>
      <c r="D2" s="6" t="str">
        <v>lettres</v>
      </c>
      <c r="E2" s="6" t="str">
        <v>lettres et sciences sociales</v>
      </c>
      <c r="F2" s="6" t="str">
        <v>Saint-Cyr lettres</v>
      </c>
      <c r="G2" s="6" t="str">
        <v>arts et design</v>
      </c>
      <c r="H2" s="6" t="str">
        <v>BCPST</v>
      </c>
      <c r="I2" s="6" t="str">
        <v>MP2I</v>
      </c>
      <c r="J2" s="6" t="str">
        <v>MPSI</v>
      </c>
      <c r="K2" s="6" t="str">
        <v>PCSI</v>
      </c>
      <c r="L2" s="6" t="str">
        <v>PTSI</v>
      </c>
      <c r="M2" s="6" t="str">
        <v>architecture</v>
      </c>
      <c r="N2" s="6" t="str">
        <v>arts</v>
      </c>
      <c r="O2" s="6" t="str">
        <v>audiovisuel</v>
      </c>
      <c r="P2" s="6" t="str">
        <v>musique et danse</v>
      </c>
      <c r="Q2" s="6" t="str">
        <v>comédie et théatre</v>
      </c>
      <c r="R2" s="6" t="str">
        <v>cirque et mime</v>
      </c>
      <c r="S2" s="6" t="n">
        <v>0</v>
      </c>
      <c r="T2" s="6" t="n">
        <v>0</v>
      </c>
      <c r="U2" s="6" t="n">
        <v>0</v>
      </c>
      <c r="V2" s="6" t="n">
        <v>0</v>
      </c>
      <c r="W2" s="6" t="str">
        <v>2nde générale et technologique</v>
      </c>
      <c r="X2" s="6" t="str">
        <v>voie générale</v>
      </c>
      <c r="Y2" s="6" t="str">
        <v>STMG</v>
      </c>
      <c r="Z2" s="6" t="str">
        <v>STI2D</v>
      </c>
      <c r="AA2" s="6" t="str">
        <v>STL</v>
      </c>
      <c r="AB2" s="6" t="str">
        <v>ST2S</v>
      </c>
      <c r="AC2" s="6" t="str">
        <v>STD2A</v>
      </c>
      <c r="AD2" s="6" t="str">
        <v>STHR</v>
      </c>
      <c r="AE2" s="6" t="str">
        <v>S2TMD</v>
      </c>
      <c r="AF2" s="6" t="str">
        <v>STAV</v>
      </c>
      <c r="AG2" s="6" t="str">
        <v>bac pro – production</v>
      </c>
      <c r="AH2" s="6" t="str">
        <v>bac pro – services</v>
      </c>
      <c r="AI2" s="6" t="str">
        <v>CAP</v>
      </c>
      <c r="AJ2" s="6" t="str">
        <v>MP</v>
      </c>
      <c r="AK2" s="6" t="str">
        <v>MPI</v>
      </c>
      <c r="AL2" s="6" t="str">
        <v>PC</v>
      </c>
      <c r="AM2" s="6" t="str">
        <v>PSI</v>
      </c>
      <c r="AN2" s="6" t="str">
        <v>PT</v>
      </c>
      <c r="AO2" s="6" t="str">
        <v>TSI</v>
      </c>
      <c r="AP2" s="6" t="str">
        <v>TB</v>
      </c>
      <c r="AQ2" s="6" t="str">
        <v>ATS</v>
      </c>
      <c r="AR2" s="6" t="str">
        <v>ECG</v>
      </c>
      <c r="AS2" s="6" t="str">
        <v>ECT</v>
      </c>
      <c r="AT2" s="6" t="str">
        <v>ENS D1 (droit-économie)</v>
      </c>
      <c r="AU2" s="6" t="str">
        <v>ENS D2 (économie-gestion)</v>
      </c>
      <c r="AV2" s="6" t="str">
        <v>accès santé (PASS / LAS)</v>
      </c>
      <c r="AW2" s="6" t="str">
        <v>médecine</v>
      </c>
      <c r="AX2" s="6" t="str">
        <v>pharmacie</v>
      </c>
      <c r="AY2" s="6" t="str">
        <v>odontologie</v>
      </c>
      <c r="AZ2" s="6" t="str">
        <v>maïeutique (sage-femme)</v>
      </c>
      <c r="BA2" s="6" t="str">
        <v>soins infirmiers</v>
      </c>
      <c r="BB2" s="6" t="str">
        <v>kinésithérapie</v>
      </c>
      <c r="BC2" s="6" t="str">
        <v>médecine vétérinaire</v>
      </c>
      <c r="BD2" s="6" t="str">
        <v>travail social</v>
      </c>
      <c r="BE2" s="6" t="str">
        <v>mathématiques</v>
      </c>
      <c r="BF2" s="6" t="str">
        <v>informatique</v>
      </c>
      <c r="BG2" s="6" t="str">
        <v>physique-chimie</v>
      </c>
      <c r="BH2" s="6" t="str">
        <v>sciences de la vie</v>
      </c>
      <c r="BI2" s="6" t="str">
        <v>sciences de la Terre et environnement</v>
      </c>
      <c r="BJ2" s="6" t="str">
        <v>génie mécanique et industriel</v>
      </c>
      <c r="BK2" s="6" t="str">
        <v>génie électrique et électronique</v>
      </c>
      <c r="BL2" s="6" t="str">
        <v>génie civil et BTP</v>
      </c>
      <c r="BM2" s="6" t="str">
        <v>chimie et génie des procédés</v>
      </c>
      <c r="BN2" s="6" t="str">
        <v>ingénierie généraliste</v>
      </c>
      <c r="BO2" s="6" t="str">
        <v>agronomie et agriculture</v>
      </c>
      <c r="BP2" s="6" t="str">
        <v>droit</v>
      </c>
      <c r="BQ2" s="6" t="str">
        <v>science politique</v>
      </c>
      <c r="BR2" s="6" t="str">
        <v>économie</v>
      </c>
      <c r="BS2" s="6" t="str">
        <v>gestion et management</v>
      </c>
      <c r="BT2" s="6" t="str">
        <v>comptabilité et finance</v>
      </c>
      <c r="BU2" s="6" t="str">
        <v>commerce, marketing et vente</v>
      </c>
      <c r="BV2" s="6" t="str">
        <v>commerce international</v>
      </c>
      <c r="BW2" s="6" t="str">
        <v>ressources humaines</v>
      </c>
      <c r="BX2" s="6" t="str">
        <v>transport et logistique</v>
      </c>
      <c r="BY2" s="6" t="str">
        <v>banque, assurance et immobilier</v>
      </c>
      <c r="BZ2" s="6" t="str">
        <v>tourisme, hôtellerie et restauration</v>
      </c>
      <c r="CA2" s="6" t="str">
        <v>communication et information</v>
      </c>
      <c r="CB2" s="6" t="str">
        <v>journalisme</v>
      </c>
      <c r="CC2" s="6" t="str">
        <v>langues étrangères (LLCER)</v>
      </c>
      <c r="CD2" s="6" t="str">
        <v>langues étrangères appliquées (LEA)</v>
      </c>
      <c r="CE2" s="6" t="str">
        <v>histoire</v>
      </c>
      <c r="CF2" s="6" t="str">
        <v>géographie et aménagement</v>
      </c>
      <c r="CG2" s="6" t="str">
        <v>philosophie</v>
      </c>
      <c r="CH2" s="6" t="str">
        <v>sociologie</v>
      </c>
      <c r="CI2" s="6" t="str">
        <v>psychologie</v>
      </c>
      <c r="CJ2" s="6" t="str">
        <v>sciences de l'éducation et enseignement (MEEF)</v>
      </c>
      <c r="CK2" s="6" t="str">
        <v>STAPS</v>
      </c>
      <c r="CL2" s="6" t="str">
        <v>design</v>
      </c>
      <c r="CM2" s="6" t="str">
        <v>préparation aux concours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</v>
      </c>
      <c r="CS2" s="6" t="n">
        <v>0</v>
      </c>
    </row>
    <row r="3" customFormat="false" ht="13.5" hidden="false" customHeight="true" outlineLevel="0" collapsed="false">
      <c r="A3" s="1" t="str">
        <f aca="false">IF(listes!K2="","",listes!K2)</f>
        <v>MAT001</v>
      </c>
      <c r="B3" s="10" t="str">
        <f aca="false">IF(listes!L2="","",listes!L2)</f>
        <v>français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S3" s="6" t="n">
        <v>1</v>
      </c>
      <c r="T3" s="6" t="n">
        <v>1</v>
      </c>
      <c r="U3" s="6" t="n">
        <v>1</v>
      </c>
      <c r="V3" s="6" t="n">
        <v>1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1</v>
      </c>
      <c r="AB3" s="6" t="n">
        <v>1</v>
      </c>
      <c r="AC3" s="6" t="n">
        <v>1</v>
      </c>
      <c r="AD3" s="6" t="n">
        <v>1</v>
      </c>
      <c r="AE3" s="6" t="n">
        <v>1</v>
      </c>
      <c r="AF3" s="6" t="n">
        <v>1</v>
      </c>
      <c r="AG3" s="6" t="n">
        <v>1</v>
      </c>
      <c r="AH3" s="6" t="n">
        <v>1</v>
      </c>
      <c r="AI3" s="6" t="n">
        <v>1</v>
      </c>
      <c r="CJ3" s="6" t="n">
        <v>1</v>
      </c>
    </row>
    <row r="4" customFormat="false" ht="13.5" hidden="false" customHeight="true" outlineLevel="0" collapsed="false">
      <c r="A4" s="1" t="str">
        <f aca="false">IF(listes!K3="","",listes!K3)</f>
        <v>MAT002</v>
      </c>
      <c r="B4" s="10" t="str">
        <f aca="false">IF(listes!L3="","",listes!L3)</f>
        <v>mathématiques</v>
      </c>
      <c r="E4" s="6" t="n">
        <v>1</v>
      </c>
      <c r="F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S4" s="6" t="n">
        <v>1</v>
      </c>
      <c r="T4" s="6" t="n">
        <v>1</v>
      </c>
      <c r="U4" s="6" t="n">
        <v>1</v>
      </c>
      <c r="V4" s="6" t="n">
        <v>1</v>
      </c>
      <c r="W4" s="6" t="n">
        <v>1</v>
      </c>
      <c r="X4" s="6" t="n">
        <v>1</v>
      </c>
      <c r="Y4" s="6" t="n">
        <v>1</v>
      </c>
      <c r="Z4" s="6" t="n">
        <v>1</v>
      </c>
      <c r="AA4" s="6" t="n">
        <v>1</v>
      </c>
      <c r="AB4" s="6" t="n">
        <v>1</v>
      </c>
      <c r="AC4" s="6" t="n">
        <v>1</v>
      </c>
      <c r="AD4" s="6" t="n">
        <v>1</v>
      </c>
      <c r="AE4" s="6" t="n">
        <v>1</v>
      </c>
      <c r="AF4" s="6" t="n">
        <v>1</v>
      </c>
      <c r="AG4" s="6" t="n">
        <v>1</v>
      </c>
      <c r="AH4" s="6" t="n">
        <v>1</v>
      </c>
      <c r="AI4" s="6" t="n">
        <v>1</v>
      </c>
      <c r="AJ4" s="6" t="n">
        <v>1</v>
      </c>
      <c r="AK4" s="6" t="n">
        <v>1</v>
      </c>
      <c r="AL4" s="6" t="n">
        <v>1</v>
      </c>
      <c r="AM4" s="6" t="n">
        <v>1</v>
      </c>
      <c r="AN4" s="6" t="n">
        <v>1</v>
      </c>
      <c r="AO4" s="6" t="n">
        <v>1</v>
      </c>
      <c r="AP4" s="6" t="n">
        <v>1</v>
      </c>
      <c r="AQ4" s="6" t="n">
        <v>1</v>
      </c>
      <c r="AR4" s="6" t="n">
        <v>1</v>
      </c>
      <c r="AS4" s="6" t="n">
        <v>1</v>
      </c>
      <c r="AU4" s="6" t="n">
        <v>1</v>
      </c>
      <c r="BE4" s="6" t="n">
        <v>1</v>
      </c>
      <c r="BF4" s="6" t="n">
        <v>1</v>
      </c>
      <c r="BG4" s="6" t="n">
        <v>1</v>
      </c>
      <c r="BJ4" s="6" t="n">
        <v>1</v>
      </c>
      <c r="BK4" s="6" t="n">
        <v>1</v>
      </c>
      <c r="BL4" s="6" t="n">
        <v>1</v>
      </c>
      <c r="BM4" s="6" t="n">
        <v>1</v>
      </c>
      <c r="BN4" s="6" t="n">
        <v>1</v>
      </c>
      <c r="BR4" s="6" t="n">
        <v>1</v>
      </c>
      <c r="CJ4" s="6" t="n">
        <v>1</v>
      </c>
    </row>
    <row r="5" customFormat="false" ht="13.5" hidden="false" customHeight="true" outlineLevel="0" collapsed="false">
      <c r="A5" s="1" t="str">
        <f aca="false">IF(listes!K4="","",listes!K4)</f>
        <v>MAT003</v>
      </c>
      <c r="B5" s="10" t="str">
        <f aca="false">IF(listes!L4="","",listes!L4)</f>
        <v>questionner le monde</v>
      </c>
      <c r="S5" s="6" t="n">
        <v>1</v>
      </c>
    </row>
    <row r="6" customFormat="false" ht="13.5" hidden="false" customHeight="true" outlineLevel="0" collapsed="false">
      <c r="A6" s="1" t="str">
        <f aca="false">IF(listes!K5="","",listes!K5)</f>
        <v>MAT004</v>
      </c>
      <c r="B6" s="10" t="str">
        <f aca="false">IF(listes!L5="","",listes!L5)</f>
        <v>anglais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1</v>
      </c>
      <c r="AU6" s="6" t="n">
        <v>1</v>
      </c>
      <c r="BE6" s="6" t="n">
        <v>1</v>
      </c>
      <c r="BF6" s="6" t="n">
        <v>1</v>
      </c>
      <c r="BG6" s="6" t="n">
        <v>1</v>
      </c>
      <c r="BH6" s="6" t="n">
        <v>1</v>
      </c>
      <c r="BI6" s="6" t="n">
        <v>1</v>
      </c>
      <c r="BJ6" s="6" t="n">
        <v>1</v>
      </c>
      <c r="BK6" s="6" t="n">
        <v>1</v>
      </c>
      <c r="BL6" s="6" t="n">
        <v>1</v>
      </c>
      <c r="BM6" s="6" t="n">
        <v>1</v>
      </c>
      <c r="BN6" s="6" t="n">
        <v>1</v>
      </c>
      <c r="BO6" s="6" t="n">
        <v>1</v>
      </c>
      <c r="BP6" s="6" t="n">
        <v>1</v>
      </c>
      <c r="BQ6" s="6" t="n">
        <v>1</v>
      </c>
      <c r="BR6" s="6" t="n">
        <v>1</v>
      </c>
      <c r="BS6" s="6" t="n">
        <v>1</v>
      </c>
      <c r="BT6" s="6" t="n">
        <v>1</v>
      </c>
      <c r="BU6" s="6" t="n">
        <v>1</v>
      </c>
      <c r="BV6" s="6" t="n">
        <v>1</v>
      </c>
      <c r="BW6" s="6" t="n">
        <v>1</v>
      </c>
      <c r="BX6" s="6" t="n">
        <v>1</v>
      </c>
      <c r="BY6" s="6" t="n">
        <v>1</v>
      </c>
      <c r="BZ6" s="6" t="n">
        <v>1</v>
      </c>
      <c r="CA6" s="6" t="n">
        <v>1</v>
      </c>
      <c r="CB6" s="6" t="n">
        <v>1</v>
      </c>
      <c r="CC6" s="6" t="n">
        <v>1</v>
      </c>
      <c r="CD6" s="6" t="n">
        <v>1</v>
      </c>
      <c r="CE6" s="6" t="n">
        <v>1</v>
      </c>
      <c r="CF6" s="6" t="n">
        <v>1</v>
      </c>
      <c r="CG6" s="6" t="n">
        <v>1</v>
      </c>
      <c r="CH6" s="6" t="n">
        <v>1</v>
      </c>
      <c r="CI6" s="6" t="n">
        <v>1</v>
      </c>
      <c r="CL6" s="6" t="n">
        <v>1</v>
      </c>
      <c r="CM6" s="6" t="n">
        <v>1</v>
      </c>
    </row>
    <row r="7" customFormat="false" ht="13.5" hidden="false" customHeight="true" outlineLevel="0" collapsed="false">
      <c r="A7" s="1" t="str">
        <f aca="false">IF(listes!K6="","",listes!K6)</f>
        <v>MAT005</v>
      </c>
      <c r="B7" s="10" t="str">
        <f aca="false">IF(listes!L6="","",listes!L6)</f>
        <v>éducation artistique</v>
      </c>
      <c r="S7" s="6" t="n">
        <v>1</v>
      </c>
      <c r="T7" s="6" t="n">
        <v>1</v>
      </c>
    </row>
    <row r="8" customFormat="false" ht="13.5" hidden="false" customHeight="true" outlineLevel="0" collapsed="false">
      <c r="A8" s="1" t="str">
        <f aca="false">IF(listes!K7="","",listes!K7)</f>
        <v>MAT006</v>
      </c>
      <c r="B8" s="10" t="str">
        <f aca="false">IF(listes!L7="","",listes!L7)</f>
        <v>éducation physique</v>
      </c>
      <c r="S8" s="6" t="n">
        <v>1</v>
      </c>
      <c r="T8" s="6" t="n">
        <v>1</v>
      </c>
    </row>
    <row r="9" customFormat="false" ht="13.5" hidden="false" customHeight="true" outlineLevel="0" collapsed="false">
      <c r="A9" s="1" t="str">
        <f aca="false">IF(listes!K8="","",listes!K8)</f>
        <v>MAT007</v>
      </c>
      <c r="B9" s="10" t="str">
        <f aca="false">IF(listes!L8="","",listes!L8)</f>
        <v>histoire</v>
      </c>
      <c r="C9" s="6" t="n">
        <v>1</v>
      </c>
      <c r="D9" s="6" t="n">
        <v>1</v>
      </c>
      <c r="E9" s="6" t="n">
        <v>1</v>
      </c>
      <c r="F9" s="6" t="n">
        <v>1</v>
      </c>
      <c r="T9" s="6" t="n">
        <v>1</v>
      </c>
      <c r="U9" s="6" t="n">
        <v>1</v>
      </c>
      <c r="V9" s="6" t="n">
        <v>1</v>
      </c>
      <c r="W9" s="6" t="n">
        <v>1</v>
      </c>
      <c r="X9" s="6" t="n">
        <v>1</v>
      </c>
      <c r="Y9" s="6" t="n">
        <v>1</v>
      </c>
      <c r="Z9" s="6" t="n">
        <v>1</v>
      </c>
      <c r="AA9" s="6" t="n">
        <v>1</v>
      </c>
      <c r="AB9" s="6" t="n">
        <v>1</v>
      </c>
      <c r="AC9" s="6" t="n">
        <v>1</v>
      </c>
      <c r="AD9" s="6" t="n">
        <v>1</v>
      </c>
      <c r="AE9" s="6" t="n">
        <v>1</v>
      </c>
      <c r="AF9" s="6" t="n">
        <v>1</v>
      </c>
      <c r="AG9" s="6" t="n">
        <v>1</v>
      </c>
      <c r="AH9" s="6" t="n">
        <v>1</v>
      </c>
      <c r="AI9" s="6" t="n">
        <v>1</v>
      </c>
      <c r="BQ9" s="6" t="n">
        <v>1</v>
      </c>
      <c r="CB9" s="6" t="n">
        <v>1</v>
      </c>
      <c r="CE9" s="6" t="n">
        <v>1</v>
      </c>
    </row>
    <row r="10" customFormat="false" ht="13.5" hidden="false" customHeight="true" outlineLevel="0" collapsed="false">
      <c r="A10" s="1" t="str">
        <f aca="false">IF(listes!K9="","",listes!K9)</f>
        <v>MAT008</v>
      </c>
      <c r="B10" s="10" t="str">
        <f aca="false">IF(listes!L9="","",listes!L9)</f>
        <v>géographie</v>
      </c>
      <c r="C10" s="6" t="n">
        <v>1</v>
      </c>
      <c r="D10" s="6" t="n">
        <v>1</v>
      </c>
      <c r="F10" s="6" t="n">
        <v>1</v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1</v>
      </c>
      <c r="Y10" s="6" t="n">
        <v>1</v>
      </c>
      <c r="Z10" s="6" t="n">
        <v>1</v>
      </c>
      <c r="AA10" s="6" t="n">
        <v>1</v>
      </c>
      <c r="AB10" s="6" t="n">
        <v>1</v>
      </c>
      <c r="AC10" s="6" t="n">
        <v>1</v>
      </c>
      <c r="AD10" s="6" t="n">
        <v>1</v>
      </c>
      <c r="AE10" s="6" t="n">
        <v>1</v>
      </c>
      <c r="AF10" s="6" t="n">
        <v>1</v>
      </c>
      <c r="AG10" s="6" t="n">
        <v>1</v>
      </c>
      <c r="AH10" s="6" t="n">
        <v>1</v>
      </c>
      <c r="AI10" s="6" t="n">
        <v>1</v>
      </c>
      <c r="CE10" s="6" t="n">
        <v>1</v>
      </c>
      <c r="CF10" s="6" t="n">
        <v>1</v>
      </c>
    </row>
    <row r="11" customFormat="false" ht="13.5" hidden="false" customHeight="true" outlineLevel="0" collapsed="false">
      <c r="A11" s="1" t="str">
        <f aca="false">IF(listes!K10="","",listes!K10)</f>
        <v>MAT009</v>
      </c>
      <c r="B11" s="10" t="str">
        <f aca="false">IF(listes!L10="","",listes!L10)</f>
        <v>sciences</v>
      </c>
      <c r="T11" s="6" t="n">
        <v>1</v>
      </c>
      <c r="U11" s="6" t="n">
        <v>1</v>
      </c>
    </row>
    <row r="12" customFormat="false" ht="13.5" hidden="false" customHeight="true" outlineLevel="0" collapsed="false">
      <c r="A12" s="1" t="str">
        <f aca="false">IF(listes!K11="","",listes!K11)</f>
        <v>MAT010</v>
      </c>
      <c r="B12" s="10" t="str">
        <f aca="false">IF(listes!L11="","",listes!L11)</f>
        <v>EMC</v>
      </c>
      <c r="S12" s="6" t="n">
        <v>1</v>
      </c>
      <c r="T12" s="6" t="n">
        <v>1</v>
      </c>
      <c r="U12" s="6" t="n">
        <v>1</v>
      </c>
      <c r="V12" s="6" t="n">
        <v>1</v>
      </c>
      <c r="W12" s="6" t="n">
        <v>1</v>
      </c>
      <c r="X12" s="6" t="n">
        <v>1</v>
      </c>
      <c r="Y12" s="6" t="n">
        <v>1</v>
      </c>
      <c r="Z12" s="6" t="n">
        <v>1</v>
      </c>
      <c r="AA12" s="6" t="n">
        <v>1</v>
      </c>
      <c r="AB12" s="6" t="n">
        <v>1</v>
      </c>
      <c r="AC12" s="6" t="n">
        <v>1</v>
      </c>
      <c r="AD12" s="6" t="n">
        <v>1</v>
      </c>
      <c r="AE12" s="6" t="n">
        <v>1</v>
      </c>
      <c r="AF12" s="6" t="n">
        <v>1</v>
      </c>
      <c r="AG12" s="6" t="n">
        <v>1</v>
      </c>
      <c r="AH12" s="6" t="n">
        <v>1</v>
      </c>
      <c r="AI12" s="6" t="n">
        <v>1</v>
      </c>
    </row>
    <row r="13" customFormat="false" ht="13.5" hidden="false" customHeight="true" outlineLevel="0" collapsed="false">
      <c r="A13" s="1" t="str">
        <f aca="false">IF(listes!K12="","",listes!K12)</f>
        <v>MAT011</v>
      </c>
      <c r="B13" s="10" t="str">
        <f aca="false">IF(listes!L12="","",listes!L12)</f>
        <v>SVT</v>
      </c>
      <c r="V13" s="6" t="n">
        <v>1</v>
      </c>
      <c r="W13" s="6" t="n">
        <v>1</v>
      </c>
      <c r="X13" s="6" t="n">
        <v>1</v>
      </c>
    </row>
    <row r="14" customFormat="false" ht="13.5" hidden="false" customHeight="true" outlineLevel="0" collapsed="false">
      <c r="A14" s="1" t="str">
        <f aca="false">IF(listes!K13="","",listes!K13)</f>
        <v>MAT012</v>
      </c>
      <c r="B14" s="10" t="str">
        <f aca="false">IF(listes!L13="","",listes!L13)</f>
        <v>physique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V14" s="6" t="n">
        <v>1</v>
      </c>
      <c r="W14" s="6" t="n">
        <v>1</v>
      </c>
      <c r="X14" s="6" t="n">
        <v>1</v>
      </c>
      <c r="Z14" s="6" t="n">
        <v>1</v>
      </c>
      <c r="AA14" s="6" t="n">
        <v>1</v>
      </c>
      <c r="AC14" s="6" t="n">
        <v>1</v>
      </c>
      <c r="AF14" s="6" t="n">
        <v>1</v>
      </c>
      <c r="AG14" s="6" t="n">
        <v>1</v>
      </c>
      <c r="AI14" s="6" t="n">
        <v>1</v>
      </c>
      <c r="AJ14" s="6" t="n">
        <v>1</v>
      </c>
      <c r="AK14" s="6" t="n">
        <v>1</v>
      </c>
      <c r="AL14" s="6" t="n">
        <v>1</v>
      </c>
      <c r="AM14" s="6" t="n">
        <v>1</v>
      </c>
      <c r="AN14" s="6" t="n">
        <v>1</v>
      </c>
      <c r="AO14" s="6" t="n">
        <v>1</v>
      </c>
      <c r="AP14" s="6" t="n">
        <v>1</v>
      </c>
      <c r="AQ14" s="6" t="n">
        <v>1</v>
      </c>
      <c r="BG14" s="6" t="n">
        <v>1</v>
      </c>
      <c r="BI14" s="6" t="n">
        <v>1</v>
      </c>
      <c r="BK14" s="6" t="n">
        <v>1</v>
      </c>
      <c r="BN14" s="6" t="n">
        <v>1</v>
      </c>
    </row>
    <row r="15" customFormat="false" ht="13.5" hidden="false" customHeight="true" outlineLevel="0" collapsed="false">
      <c r="A15" s="1" t="str">
        <f aca="false">IF(listes!K14="","",listes!K14)</f>
        <v>MAT013</v>
      </c>
      <c r="B15" s="10" t="str">
        <f aca="false">IF(listes!L14="","",listes!L14)</f>
        <v>chimie</v>
      </c>
      <c r="H15" s="6" t="n">
        <v>1</v>
      </c>
      <c r="J15" s="6" t="n">
        <v>1</v>
      </c>
      <c r="K15" s="6" t="n">
        <v>1</v>
      </c>
      <c r="L15" s="6" t="n">
        <v>1</v>
      </c>
      <c r="V15" s="6" t="n">
        <v>1</v>
      </c>
      <c r="W15" s="6" t="n">
        <v>1</v>
      </c>
      <c r="X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F15" s="6" t="n">
        <v>1</v>
      </c>
      <c r="AG15" s="6" t="n">
        <v>1</v>
      </c>
      <c r="AI15" s="6" t="n">
        <v>1</v>
      </c>
      <c r="AJ15" s="6" t="n">
        <v>1</v>
      </c>
      <c r="AL15" s="6" t="n">
        <v>1</v>
      </c>
      <c r="AM15" s="6" t="n">
        <v>1</v>
      </c>
      <c r="AN15" s="6" t="n">
        <v>1</v>
      </c>
      <c r="AO15" s="6" t="n">
        <v>1</v>
      </c>
      <c r="AP15" s="6" t="n">
        <v>1</v>
      </c>
      <c r="AQ15" s="6" t="n">
        <v>1</v>
      </c>
      <c r="AV15" s="6" t="n">
        <v>1</v>
      </c>
      <c r="BG15" s="6" t="n">
        <v>1</v>
      </c>
      <c r="BH15" s="6" t="n">
        <v>1</v>
      </c>
      <c r="BI15" s="6" t="n">
        <v>1</v>
      </c>
    </row>
    <row r="16" customFormat="false" ht="13.5" hidden="false" customHeight="true" outlineLevel="0" collapsed="false">
      <c r="A16" s="1" t="str">
        <f aca="false">IF(listes!K15="","",listes!K15)</f>
        <v>MAT014</v>
      </c>
      <c r="B16" s="10" t="str">
        <f aca="false">IF(listes!L15="","",listes!L15)</f>
        <v>technologie</v>
      </c>
      <c r="U16" s="6" t="n">
        <v>1</v>
      </c>
      <c r="V16" s="6" t="n">
        <v>1</v>
      </c>
    </row>
    <row r="17" customFormat="false" ht="13.5" hidden="false" customHeight="true" outlineLevel="0" collapsed="false">
      <c r="A17" s="1" t="str">
        <f aca="false">IF(listes!K16="","",listes!K16)</f>
        <v>MAT015</v>
      </c>
      <c r="B17" s="10" t="str">
        <f aca="false">IF(listes!L16="","",listes!L16)</f>
        <v>arts plastiques</v>
      </c>
      <c r="G17" s="6" t="n">
        <v>1</v>
      </c>
      <c r="N17" s="6" t="n">
        <v>1</v>
      </c>
      <c r="U17" s="6" t="n">
        <v>1</v>
      </c>
      <c r="V17" s="6" t="n">
        <v>1</v>
      </c>
      <c r="AC17" s="6" t="n">
        <v>1</v>
      </c>
    </row>
    <row r="18" customFormat="false" ht="13.5" hidden="false" customHeight="true" outlineLevel="0" collapsed="false">
      <c r="A18" s="1" t="str">
        <f aca="false">IF(listes!K17="","",listes!K17)</f>
        <v>MAT016</v>
      </c>
      <c r="B18" s="10" t="str">
        <f aca="false">IF(listes!L17="","",listes!L17)</f>
        <v>éducation musicale</v>
      </c>
      <c r="U18" s="6" t="n">
        <v>1</v>
      </c>
      <c r="V18" s="6" t="n">
        <v>1</v>
      </c>
    </row>
    <row r="19" customFormat="false" ht="13.5" hidden="false" customHeight="true" outlineLevel="0" collapsed="false">
      <c r="A19" s="1" t="str">
        <f aca="false">IF(listes!K18="","",listes!K18)</f>
        <v>MAT017</v>
      </c>
      <c r="B19" s="10" t="str">
        <f aca="false">IF(listes!L18="","",listes!L18)</f>
        <v>EPS</v>
      </c>
      <c r="F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  <c r="AI19" s="6" t="n">
        <v>1</v>
      </c>
    </row>
    <row r="20" customFormat="false" ht="13.5" hidden="false" customHeight="true" outlineLevel="0" collapsed="false">
      <c r="A20" s="1" t="str">
        <f aca="false">IF(listes!K19="","",listes!K19)</f>
        <v>MAT018</v>
      </c>
      <c r="B20" s="10" t="str">
        <f aca="false">IF(listes!L19="","",listes!L19)</f>
        <v>SES</v>
      </c>
      <c r="W20" s="6" t="n">
        <v>1</v>
      </c>
      <c r="X20" s="6" t="n">
        <v>1</v>
      </c>
    </row>
    <row r="21" customFormat="false" ht="13.5" hidden="false" customHeight="true" outlineLevel="0" collapsed="false">
      <c r="A21" s="1" t="str">
        <f aca="false">IF(listes!K20="","",listes!K20)</f>
        <v>MAT019</v>
      </c>
      <c r="B21" s="10" t="str">
        <f aca="false">IF(listes!L20="","",listes!L20)</f>
        <v>SNT</v>
      </c>
      <c r="W21" s="6" t="n">
        <v>1</v>
      </c>
    </row>
    <row r="22" customFormat="false" ht="13.5" hidden="false" customHeight="true" outlineLevel="0" collapsed="false">
      <c r="A22" s="1" t="str">
        <f aca="false">IF(listes!K21="","",listes!K21)</f>
        <v>MAT020</v>
      </c>
      <c r="B22" s="10" t="str">
        <f aca="false">IF(listes!L21="","",listes!L21)</f>
        <v>NSI</v>
      </c>
      <c r="X22" s="6" t="n">
        <v>1</v>
      </c>
    </row>
    <row r="23" customFormat="false" ht="13.5" hidden="false" customHeight="true" outlineLevel="0" collapsed="false">
      <c r="A23" s="1" t="str">
        <f aca="false">IF(listes!K22="","",listes!K22)</f>
        <v>MAT021</v>
      </c>
      <c r="B23" s="10" t="str">
        <f aca="false">IF(listes!L22="","",listes!L22)</f>
        <v>sciences de l'ingénieur</v>
      </c>
      <c r="I23" s="6" t="n">
        <v>1</v>
      </c>
      <c r="J23" s="6" t="n">
        <v>1</v>
      </c>
      <c r="K23" s="6" t="n">
        <v>1</v>
      </c>
      <c r="L23" s="6" t="n">
        <v>1</v>
      </c>
      <c r="X23" s="6" t="n">
        <v>1</v>
      </c>
      <c r="AJ23" s="6" t="n">
        <v>1</v>
      </c>
      <c r="AM23" s="6" t="n">
        <v>1</v>
      </c>
      <c r="AN23" s="6" t="n">
        <v>1</v>
      </c>
      <c r="AO23" s="6" t="n">
        <v>1</v>
      </c>
      <c r="AQ23" s="6" t="n">
        <v>1</v>
      </c>
    </row>
    <row r="24" customFormat="false" ht="13.5" hidden="false" customHeight="true" outlineLevel="0" collapsed="false">
      <c r="A24" s="1" t="str">
        <f aca="false">IF(listes!K23="","",listes!K23)</f>
        <v>MAT022</v>
      </c>
      <c r="B24" s="10" t="str">
        <f aca="false">IF(listes!L23="","",listes!L23)</f>
        <v>HGGSP</v>
      </c>
      <c r="X24" s="6" t="n">
        <v>1</v>
      </c>
    </row>
    <row r="25" customFormat="false" ht="13.5" hidden="false" customHeight="true" outlineLevel="0" collapsed="false">
      <c r="A25" s="1" t="str">
        <f aca="false">IF(listes!K24="","",listes!K24)</f>
        <v>MAT023</v>
      </c>
      <c r="B25" s="10" t="str">
        <f aca="false">IF(listes!L24="","",listes!L24)</f>
        <v>HLP</v>
      </c>
      <c r="X25" s="6" t="n">
        <v>1</v>
      </c>
    </row>
    <row r="26" customFormat="false" ht="13.5" hidden="false" customHeight="true" outlineLevel="0" collapsed="false">
      <c r="A26" s="1" t="str">
        <f aca="false">IF(listes!K25="","",listes!K25)</f>
        <v>MAT024</v>
      </c>
      <c r="B26" s="10" t="str">
        <f aca="false">IF(listes!L25="","",listes!L25)</f>
        <v>LLCER</v>
      </c>
      <c r="X26" s="6" t="n">
        <v>1</v>
      </c>
    </row>
    <row r="27" customFormat="false" ht="13.5" hidden="false" customHeight="true" outlineLevel="0" collapsed="false">
      <c r="A27" s="1" t="str">
        <f aca="false">IF(listes!K26="","",listes!K26)</f>
        <v>MAT025</v>
      </c>
      <c r="B27" s="10" t="str">
        <f aca="false">IF(listes!L26="","",listes!L26)</f>
        <v>LLCA</v>
      </c>
      <c r="W27" s="6" t="n">
        <v>1</v>
      </c>
      <c r="X27" s="6" t="n">
        <v>1</v>
      </c>
    </row>
    <row r="28" customFormat="false" ht="13.5" hidden="false" customHeight="true" outlineLevel="0" collapsed="false">
      <c r="A28" s="1" t="str">
        <f aca="false">IF(listes!K27="","",listes!K27)</f>
        <v>MAT026</v>
      </c>
      <c r="B28" s="10" t="str">
        <f aca="false">IF(listes!L27="","",listes!L27)</f>
        <v>Arts</v>
      </c>
      <c r="X28" s="6" t="n">
        <v>1</v>
      </c>
    </row>
    <row r="29" customFormat="false" ht="13.5" hidden="false" customHeight="true" outlineLevel="0" collapsed="false">
      <c r="A29" s="1" t="str">
        <f aca="false">IF(listes!K28="","",listes!K28)</f>
        <v>MAT027</v>
      </c>
      <c r="B29" s="10" t="str">
        <f aca="false">IF(listes!L28="","",listes!L28)</f>
        <v>éducation physique, pratiques et culture sportives</v>
      </c>
      <c r="X29" s="6" t="n">
        <v>1</v>
      </c>
      <c r="CK29" s="6" t="n">
        <v>1</v>
      </c>
    </row>
    <row r="30" customFormat="false" ht="13.5" hidden="false" customHeight="true" outlineLevel="0" collapsed="false">
      <c r="A30" s="1" t="str">
        <f aca="false">IF(listes!K29="","",listes!K29)</f>
        <v>MAT028</v>
      </c>
      <c r="B30" s="10" t="str">
        <f aca="false">IF(listes!L29="","",listes!L29)</f>
        <v>philosophie</v>
      </c>
      <c r="D30" s="6" t="n">
        <v>1</v>
      </c>
      <c r="E30" s="6" t="n">
        <v>1</v>
      </c>
      <c r="F30" s="6" t="n">
        <v>1</v>
      </c>
      <c r="G30" s="6" t="n">
        <v>1</v>
      </c>
      <c r="N30" s="6" t="n">
        <v>1</v>
      </c>
      <c r="X30" s="6" t="n">
        <v>1</v>
      </c>
      <c r="Y30" s="6" t="n">
        <v>1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1</v>
      </c>
      <c r="AE30" s="6" t="n">
        <v>1</v>
      </c>
      <c r="AF30" s="6" t="n">
        <v>1</v>
      </c>
      <c r="CG30" s="6" t="n">
        <v>1</v>
      </c>
    </row>
    <row r="31" customFormat="false" ht="13.5" hidden="false" customHeight="true" outlineLevel="0" collapsed="false">
      <c r="A31" s="1" t="str">
        <f aca="false">IF(listes!K30="","",listes!K30)</f>
        <v>MAT029</v>
      </c>
      <c r="B31" s="10" t="str">
        <f aca="false">IF(listes!L30="","",listes!L30)</f>
        <v>DGEMC</v>
      </c>
      <c r="X31" s="6" t="n">
        <v>1</v>
      </c>
    </row>
    <row r="32" customFormat="false" ht="13.5" hidden="false" customHeight="true" outlineLevel="0" collapsed="false">
      <c r="A32" s="1" t="str">
        <f aca="false">IF(listes!K31="","",listes!K31)</f>
        <v>MAT030</v>
      </c>
      <c r="B32" s="10" t="str">
        <f aca="false">IF(listes!L31="","",listes!L31)</f>
        <v>latin</v>
      </c>
      <c r="C32" s="6" t="n">
        <v>1</v>
      </c>
      <c r="D32" s="6" t="n">
        <v>1</v>
      </c>
      <c r="V32" s="6" t="n">
        <v>1</v>
      </c>
    </row>
    <row r="33" customFormat="false" ht="13.5" hidden="false" customHeight="true" outlineLevel="0" collapsed="false">
      <c r="A33" s="1" t="str">
        <f aca="false">IF(listes!K32="","",listes!K32)</f>
        <v>MAT031</v>
      </c>
      <c r="B33" s="10" t="str">
        <f aca="false">IF(listes!L32="","",listes!L32)</f>
        <v>grec ancien</v>
      </c>
      <c r="C33" s="6" t="n">
        <v>1</v>
      </c>
      <c r="D33" s="6" t="n">
        <v>1</v>
      </c>
      <c r="V33" s="6" t="n">
        <v>1</v>
      </c>
    </row>
    <row r="34" customFormat="false" ht="13.5" hidden="false" customHeight="true" outlineLevel="0" collapsed="false">
      <c r="A34" s="1" t="str">
        <f aca="false">IF(listes!K33="","",listes!K33)</f>
        <v>MAT032</v>
      </c>
      <c r="B34" s="10" t="str">
        <f aca="false">IF(listes!L33="","",listes!L33)</f>
        <v>littérature française</v>
      </c>
      <c r="D34" s="6" t="n">
        <v>1</v>
      </c>
    </row>
    <row r="35" customFormat="false" ht="13.5" hidden="false" customHeight="true" outlineLevel="0" collapsed="false">
      <c r="A35" s="1" t="str">
        <f aca="false">IF(listes!K34="","",listes!K34)</f>
        <v>MAT033</v>
      </c>
      <c r="B35" s="10" t="str">
        <f aca="false">IF(listes!L34="","",listes!L34)</f>
        <v>littérature comparée</v>
      </c>
      <c r="D35" s="6" t="n">
        <v>1</v>
      </c>
    </row>
    <row r="36" customFormat="false" ht="13.5" hidden="false" customHeight="true" outlineLevel="0" collapsed="false">
      <c r="A36" s="1" t="str">
        <f aca="false">IF(listes!K35="","",listes!K35)</f>
        <v>MAT034</v>
      </c>
      <c r="B36" s="10" t="str">
        <f aca="false">IF(listes!L35="","",listes!L35)</f>
        <v>langue française et stylistique</v>
      </c>
      <c r="D36" s="6" t="n">
        <v>1</v>
      </c>
    </row>
    <row r="37" customFormat="false" ht="13.5" hidden="false" customHeight="true" outlineLevel="0" collapsed="false">
      <c r="A37" s="1" t="str">
        <f aca="false">IF(listes!K36="","",listes!K36)</f>
        <v>MAT035</v>
      </c>
      <c r="B37" s="10" t="str">
        <f aca="false">IF(listes!L36="","",listes!L36)</f>
        <v>linguistique</v>
      </c>
      <c r="D37" s="6" t="n">
        <v>1</v>
      </c>
      <c r="CC37" s="6" t="n">
        <v>1</v>
      </c>
    </row>
    <row r="38" customFormat="false" ht="13.5" hidden="false" customHeight="true" outlineLevel="0" collapsed="false">
      <c r="A38" s="1" t="str">
        <f aca="false">IF(listes!K37="","",listes!K37)</f>
        <v>MAT036</v>
      </c>
      <c r="B38" s="10" t="str">
        <f aca="false">IF(listes!L37="","",listes!L37)</f>
        <v>économie</v>
      </c>
      <c r="E38" s="6" t="n">
        <v>1</v>
      </c>
      <c r="AS38" s="6" t="n">
        <v>1</v>
      </c>
      <c r="AT38" s="6" t="n">
        <v>1</v>
      </c>
      <c r="AU38" s="6" t="n">
        <v>1</v>
      </c>
      <c r="BO38" s="6" t="n">
        <v>1</v>
      </c>
      <c r="BQ38" s="6" t="n">
        <v>1</v>
      </c>
      <c r="CB38" s="6" t="n">
        <v>1</v>
      </c>
      <c r="CD38" s="6" t="n">
        <v>1</v>
      </c>
      <c r="CM38" s="6" t="n">
        <v>1</v>
      </c>
    </row>
    <row r="39" customFormat="false" ht="13.5" hidden="false" customHeight="true" outlineLevel="0" collapsed="false">
      <c r="A39" s="1" t="str">
        <f aca="false">IF(listes!K38="","",listes!K38)</f>
        <v>MAT037</v>
      </c>
      <c r="B39" s="10" t="str">
        <f aca="false">IF(listes!L38="","",listes!L38)</f>
        <v>sociologie</v>
      </c>
      <c r="E39" s="6" t="n">
        <v>1</v>
      </c>
      <c r="BD39" s="6" t="n">
        <v>1</v>
      </c>
      <c r="BQ39" s="6" t="n">
        <v>1</v>
      </c>
      <c r="CA39" s="6" t="n">
        <v>1</v>
      </c>
      <c r="CH39" s="6" t="n">
        <v>1</v>
      </c>
      <c r="CK39" s="6" t="n">
        <v>1</v>
      </c>
    </row>
    <row r="40" customFormat="false" ht="13.5" hidden="false" customHeight="true" outlineLevel="0" collapsed="false">
      <c r="A40" s="1" t="str">
        <f aca="false">IF(listes!K39="","",listes!K39)</f>
        <v>MAT038</v>
      </c>
      <c r="B40" s="10" t="str">
        <f aca="false">IF(listes!L39="","",listes!L39)</f>
        <v>géopolitique</v>
      </c>
      <c r="F40" s="6" t="n">
        <v>1</v>
      </c>
    </row>
    <row r="41" customFormat="false" ht="13.5" hidden="false" customHeight="true" outlineLevel="0" collapsed="false">
      <c r="A41" s="1" t="str">
        <f aca="false">IF(listes!K40="","",listes!K40)</f>
        <v>MAT039</v>
      </c>
      <c r="B41" s="10" t="str">
        <f aca="false">IF(listes!L40="","",listes!L40)</f>
        <v>design</v>
      </c>
      <c r="G41" s="6" t="n">
        <v>1</v>
      </c>
      <c r="N41" s="6" t="n">
        <v>1</v>
      </c>
      <c r="AC41" s="6" t="n">
        <v>1</v>
      </c>
      <c r="CL41" s="6" t="n">
        <v>1</v>
      </c>
    </row>
    <row r="42" customFormat="false" ht="13.5" hidden="false" customHeight="true" outlineLevel="0" collapsed="false">
      <c r="A42" s="1" t="str">
        <f aca="false">IF(listes!K41="","",listes!K41)</f>
        <v>MAT040</v>
      </c>
      <c r="B42" s="10" t="str">
        <f aca="false">IF(listes!L41="","",listes!L41)</f>
        <v>histoire de l'art</v>
      </c>
      <c r="G42" s="6" t="n">
        <v>1</v>
      </c>
      <c r="N42" s="6" t="n">
        <v>1</v>
      </c>
      <c r="O42" s="6" t="n">
        <v>1</v>
      </c>
      <c r="AC42" s="6" t="n">
        <v>1</v>
      </c>
      <c r="CE42" s="6" t="n">
        <v>1</v>
      </c>
      <c r="CL42" s="6" t="n">
        <v>1</v>
      </c>
    </row>
    <row r="43" customFormat="false" ht="13.5" hidden="false" customHeight="true" outlineLevel="0" collapsed="false">
      <c r="A43" s="1" t="str">
        <f aca="false">IF(listes!K42="","",listes!K42)</f>
        <v>MAT041</v>
      </c>
      <c r="B43" s="10" t="str">
        <f aca="false">IF(listes!L42="","",listes!L42)</f>
        <v>biologie</v>
      </c>
      <c r="H43" s="6" t="n">
        <v>1</v>
      </c>
      <c r="AP43" s="6" t="n">
        <v>1</v>
      </c>
      <c r="BH43" s="6" t="n">
        <v>1</v>
      </c>
    </row>
    <row r="44" customFormat="false" ht="13.5" hidden="false" customHeight="true" outlineLevel="0" collapsed="false">
      <c r="A44" s="1" t="str">
        <f aca="false">IF(listes!K43="","",listes!K43)</f>
        <v>MAT042</v>
      </c>
      <c r="B44" s="10" t="str">
        <f aca="false">IF(listes!L43="","",listes!L43)</f>
        <v>géologie</v>
      </c>
      <c r="H44" s="6" t="n">
        <v>1</v>
      </c>
      <c r="AP44" s="6" t="n">
        <v>1</v>
      </c>
      <c r="BI44" s="6" t="n">
        <v>1</v>
      </c>
    </row>
    <row r="45" customFormat="false" ht="13.5" hidden="false" customHeight="true" outlineLevel="0" collapsed="false">
      <c r="A45" s="1" t="str">
        <f aca="false">IF(listes!K44="","",listes!K44)</f>
        <v>MAT043</v>
      </c>
      <c r="B45" s="10" t="str">
        <f aca="false">IF(listes!L44="","",listes!L44)</f>
        <v>informatique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AJ45" s="6" t="n">
        <v>1</v>
      </c>
      <c r="AK45" s="6" t="n">
        <v>1</v>
      </c>
      <c r="AL45" s="6" t="n">
        <v>1</v>
      </c>
      <c r="AM45" s="6" t="n">
        <v>1</v>
      </c>
      <c r="AN45" s="6" t="n">
        <v>1</v>
      </c>
      <c r="AO45" s="6" t="n">
        <v>1</v>
      </c>
    </row>
    <row r="46" customFormat="false" ht="13.5" hidden="false" customHeight="true" outlineLevel="0" collapsed="false">
      <c r="A46" s="1" t="str">
        <f aca="false">IF(listes!K45="","",listes!K45)</f>
        <v>MAT044</v>
      </c>
      <c r="B46" s="10" t="str">
        <f aca="false">IF(listes!L45="","",listes!L45)</f>
        <v>français-philosophie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AJ46" s="6" t="n">
        <v>1</v>
      </c>
      <c r="AK46" s="6" t="n">
        <v>1</v>
      </c>
      <c r="AL46" s="6" t="n">
        <v>1</v>
      </c>
      <c r="AM46" s="6" t="n">
        <v>1</v>
      </c>
      <c r="AN46" s="6" t="n">
        <v>1</v>
      </c>
      <c r="AO46" s="6" t="n">
        <v>1</v>
      </c>
      <c r="AP46" s="6" t="n">
        <v>1</v>
      </c>
      <c r="AQ46" s="6" t="n">
        <v>1</v>
      </c>
      <c r="AR46" s="6" t="n">
        <v>1</v>
      </c>
      <c r="AS46" s="6" t="n">
        <v>1</v>
      </c>
    </row>
    <row r="47" customFormat="false" ht="13.5" hidden="false" customHeight="true" outlineLevel="0" collapsed="false">
      <c r="A47" s="1" t="str">
        <f aca="false">IF(listes!K46="","",listes!K46)</f>
        <v>MAT045</v>
      </c>
      <c r="B47" s="10" t="str">
        <f aca="false">IF(listes!L46="","",listes!L46)</f>
        <v>projet architectural</v>
      </c>
      <c r="M47" s="6" t="n">
        <v>1</v>
      </c>
    </row>
    <row r="48" customFormat="false" ht="13.5" hidden="false" customHeight="true" outlineLevel="0" collapsed="false">
      <c r="A48" s="1" t="str">
        <f aca="false">IF(listes!K47="","",listes!K47)</f>
        <v>MAT046</v>
      </c>
      <c r="B48" s="10" t="str">
        <f aca="false">IF(listes!L47="","",listes!L47)</f>
        <v>histoire de l'architecture</v>
      </c>
      <c r="M48" s="6" t="n">
        <v>1</v>
      </c>
    </row>
    <row r="49" customFormat="false" ht="13.5" hidden="false" customHeight="true" outlineLevel="0" collapsed="false">
      <c r="A49" s="1" t="str">
        <f aca="false">IF(listes!K48="","",listes!K48)</f>
        <v>MAT047</v>
      </c>
      <c r="B49" s="10" t="str">
        <f aca="false">IF(listes!L48="","",listes!L48)</f>
        <v>construction et structures</v>
      </c>
      <c r="M49" s="6" t="n">
        <v>1</v>
      </c>
      <c r="BL49" s="6" t="n">
        <v>1</v>
      </c>
    </row>
    <row r="50" customFormat="false" ht="13.5" hidden="false" customHeight="true" outlineLevel="0" collapsed="false">
      <c r="A50" s="1" t="str">
        <f aca="false">IF(listes!K49="","",listes!K49)</f>
        <v>MAT048</v>
      </c>
      <c r="B50" s="10" t="str">
        <f aca="false">IF(listes!L49="","",listes!L49)</f>
        <v>urbanisme</v>
      </c>
      <c r="M50" s="6" t="n">
        <v>1</v>
      </c>
      <c r="CF50" s="6" t="n">
        <v>1</v>
      </c>
    </row>
    <row r="51" customFormat="false" ht="13.5" hidden="false" customHeight="true" outlineLevel="0" collapsed="false">
      <c r="A51" s="1" t="str">
        <f aca="false">IF(listes!K50="","",listes!K50)</f>
        <v>MAT049</v>
      </c>
      <c r="B51" s="10" t="str">
        <f aca="false">IF(listes!L50="","",listes!L50)</f>
        <v>représentation (dessin, CAO)</v>
      </c>
      <c r="M51" s="6" t="n">
        <v>1</v>
      </c>
    </row>
    <row r="52" customFormat="false" ht="13.5" hidden="false" customHeight="true" outlineLevel="0" collapsed="false">
      <c r="A52" s="1" t="str">
        <f aca="false">IF(listes!K51="","",listes!K51)</f>
        <v>MAT050</v>
      </c>
      <c r="B52" s="10" t="str">
        <f aca="false">IF(listes!L51="","",listes!L51)</f>
        <v>dessin</v>
      </c>
      <c r="N52" s="6" t="n">
        <v>1</v>
      </c>
      <c r="CL52" s="6" t="n">
        <v>1</v>
      </c>
    </row>
    <row r="53" customFormat="false" ht="13.5" hidden="false" customHeight="true" outlineLevel="0" collapsed="false">
      <c r="A53" s="1" t="str">
        <f aca="false">IF(listes!K52="","",listes!K52)</f>
        <v>MAT051</v>
      </c>
      <c r="B53" s="10" t="str">
        <f aca="false">IF(listes!L52="","",listes!L52)</f>
        <v>photographie</v>
      </c>
      <c r="N53" s="6" t="n">
        <v>1</v>
      </c>
    </row>
    <row r="54" customFormat="false" ht="13.5" hidden="false" customHeight="true" outlineLevel="0" collapsed="false">
      <c r="A54" s="1" t="str">
        <f aca="false">IF(listes!K53="","",listes!K53)</f>
        <v>MAT052</v>
      </c>
      <c r="B54" s="10" t="str">
        <f aca="false">IF(listes!L53="","",listes!L53)</f>
        <v>cinéma et analyse filmique</v>
      </c>
      <c r="O54" s="6" t="n">
        <v>1</v>
      </c>
    </row>
    <row r="55" customFormat="false" ht="13.5" hidden="false" customHeight="true" outlineLevel="0" collapsed="false">
      <c r="A55" s="1" t="str">
        <f aca="false">IF(listes!K54="","",listes!K54)</f>
        <v>MAT053</v>
      </c>
      <c r="B55" s="10" t="str">
        <f aca="false">IF(listes!L54="","",listes!L54)</f>
        <v>techniques audiovisuelles (image, son, montage)</v>
      </c>
      <c r="O55" s="6" t="n">
        <v>1</v>
      </c>
    </row>
    <row r="56" customFormat="false" ht="13.5" hidden="false" customHeight="true" outlineLevel="0" collapsed="false">
      <c r="A56" s="1" t="str">
        <f aca="false">IF(listes!K55="","",listes!K55)</f>
        <v>MAT054</v>
      </c>
      <c r="B56" s="10" t="str">
        <f aca="false">IF(listes!L55="","",listes!L55)</f>
        <v>écriture de scénario</v>
      </c>
      <c r="O56" s="6" t="n">
        <v>1</v>
      </c>
    </row>
    <row r="57" customFormat="false" ht="13.5" hidden="false" customHeight="true" outlineLevel="0" collapsed="false">
      <c r="A57" s="1" t="str">
        <f aca="false">IF(listes!K56="","",listes!K56)</f>
        <v>MAT055</v>
      </c>
      <c r="B57" s="10" t="str">
        <f aca="false">IF(listes!L56="","",listes!L56)</f>
        <v>formation musicale</v>
      </c>
      <c r="P57" s="6" t="n">
        <v>1</v>
      </c>
      <c r="AE57" s="6" t="n">
        <v>1</v>
      </c>
    </row>
    <row r="58" customFormat="false" ht="13.5" hidden="false" customHeight="true" outlineLevel="0" collapsed="false">
      <c r="A58" s="1" t="str">
        <f aca="false">IF(listes!K57="","",listes!K57)</f>
        <v>MAT056</v>
      </c>
      <c r="B58" s="10" t="str">
        <f aca="false">IF(listes!L57="","",listes!L57)</f>
        <v>histoire de la musique</v>
      </c>
      <c r="P58" s="6" t="n">
        <v>1</v>
      </c>
      <c r="AE58" s="6" t="n">
        <v>1</v>
      </c>
    </row>
    <row r="59" customFormat="false" ht="13.5" hidden="false" customHeight="true" outlineLevel="0" collapsed="false">
      <c r="A59" s="1" t="str">
        <f aca="false">IF(listes!K58="","",listes!K58)</f>
        <v>MAT057</v>
      </c>
      <c r="B59" s="10" t="str">
        <f aca="false">IF(listes!L58="","",listes!L58)</f>
        <v>analyse musicale</v>
      </c>
      <c r="P59" s="6" t="n">
        <v>1</v>
      </c>
    </row>
    <row r="60" customFormat="false" ht="13.5" hidden="false" customHeight="true" outlineLevel="0" collapsed="false">
      <c r="A60" s="1" t="str">
        <f aca="false">IF(listes!K59="","",listes!K59)</f>
        <v>MAT058</v>
      </c>
      <c r="B60" s="10" t="str">
        <f aca="false">IF(listes!L59="","",listes!L59)</f>
        <v>instrument</v>
      </c>
      <c r="P60" s="6" t="n">
        <v>1</v>
      </c>
    </row>
    <row r="61" customFormat="false" ht="13.5" hidden="false" customHeight="true" outlineLevel="0" collapsed="false">
      <c r="A61" s="1" t="str">
        <f aca="false">IF(listes!K60="","",listes!K60)</f>
        <v>MAT059</v>
      </c>
      <c r="B61" s="10" t="str">
        <f aca="false">IF(listes!L60="","",listes!L60)</f>
        <v>danse</v>
      </c>
      <c r="P61" s="6" t="n">
        <v>1</v>
      </c>
      <c r="Q61" s="6" t="n">
        <v>1</v>
      </c>
      <c r="AE61" s="6" t="n">
        <v>1</v>
      </c>
    </row>
    <row r="62" customFormat="false" ht="13.5" hidden="false" customHeight="true" outlineLevel="0" collapsed="false">
      <c r="A62" s="1" t="str">
        <f aca="false">IF(listes!K61="","",listes!K61)</f>
        <v>MAT060</v>
      </c>
      <c r="B62" s="10" t="str">
        <f aca="false">IF(listes!L61="","",listes!L61)</f>
        <v>histoire de la danse</v>
      </c>
      <c r="P62" s="6" t="n">
        <v>1</v>
      </c>
    </row>
    <row r="63" customFormat="false" ht="13.5" hidden="false" customHeight="true" outlineLevel="0" collapsed="false">
      <c r="A63" s="1" t="str">
        <f aca="false">IF(listes!K62="","",listes!K62)</f>
        <v>MAT061</v>
      </c>
      <c r="B63" s="10" t="str">
        <f aca="false">IF(listes!L62="","",listes!L62)</f>
        <v>anatomie</v>
      </c>
      <c r="P63" s="6" t="n">
        <v>1</v>
      </c>
      <c r="R63" s="6" t="n">
        <v>1</v>
      </c>
      <c r="AV63" s="6" t="n">
        <v>1</v>
      </c>
      <c r="AW63" s="6" t="n">
        <v>1</v>
      </c>
      <c r="AY63" s="6" t="n">
        <v>1</v>
      </c>
      <c r="AZ63" s="6" t="n">
        <v>1</v>
      </c>
      <c r="BA63" s="6" t="n">
        <v>1</v>
      </c>
      <c r="BB63" s="6" t="n">
        <v>1</v>
      </c>
      <c r="BC63" s="6" t="n">
        <v>1</v>
      </c>
      <c r="CK63" s="6" t="n">
        <v>1</v>
      </c>
    </row>
    <row r="64" customFormat="false" ht="13.5" hidden="false" customHeight="true" outlineLevel="0" collapsed="false">
      <c r="A64" s="1" t="str">
        <f aca="false">IF(listes!K63="","",listes!K63)</f>
        <v>MAT062</v>
      </c>
      <c r="B64" s="10" t="str">
        <f aca="false">IF(listes!L63="","",listes!L63)</f>
        <v>jeu théâtral</v>
      </c>
      <c r="Q64" s="6" t="n">
        <v>1</v>
      </c>
      <c r="AE64" s="6" t="n">
        <v>1</v>
      </c>
    </row>
    <row r="65" customFormat="false" ht="13.5" hidden="false" customHeight="true" outlineLevel="0" collapsed="false">
      <c r="A65" s="1" t="str">
        <f aca="false">IF(listes!K64="","",listes!K64)</f>
        <v>MAT063</v>
      </c>
      <c r="B65" s="10" t="str">
        <f aca="false">IF(listes!L64="","",listes!L64)</f>
        <v>histoire du théâtre</v>
      </c>
      <c r="Q65" s="6" t="n">
        <v>1</v>
      </c>
    </row>
    <row r="66" customFormat="false" ht="13.5" hidden="false" customHeight="true" outlineLevel="0" collapsed="false">
      <c r="A66" s="1" t="str">
        <f aca="false">IF(listes!K65="","",listes!K65)</f>
        <v>MAT064</v>
      </c>
      <c r="B66" s="10" t="str">
        <f aca="false">IF(listes!L65="","",listes!L65)</f>
        <v>dramaturgie</v>
      </c>
      <c r="Q66" s="6" t="n">
        <v>1</v>
      </c>
    </row>
    <row r="67" customFormat="false" ht="13.5" hidden="false" customHeight="true" outlineLevel="0" collapsed="false">
      <c r="A67" s="1" t="str">
        <f aca="false">IF(listes!K66="","",listes!K66)</f>
        <v>MAT065</v>
      </c>
      <c r="B67" s="10" t="str">
        <f aca="false">IF(listes!L66="","",listes!L66)</f>
        <v>voix et diction</v>
      </c>
      <c r="Q67" s="6" t="n">
        <v>1</v>
      </c>
    </row>
    <row r="68" customFormat="false" ht="13.5" hidden="false" customHeight="true" outlineLevel="0" collapsed="false">
      <c r="A68" s="1" t="str">
        <f aca="false">IF(listes!K67="","",listes!K67)</f>
        <v>MAT066</v>
      </c>
      <c r="B68" s="10" t="str">
        <f aca="false">IF(listes!L67="","",listes!L67)</f>
        <v>arts du cirque</v>
      </c>
      <c r="R68" s="6" t="n">
        <v>1</v>
      </c>
    </row>
    <row r="69" customFormat="false" ht="13.5" hidden="false" customHeight="true" outlineLevel="0" collapsed="false">
      <c r="A69" s="1" t="str">
        <f aca="false">IF(listes!K68="","",listes!K68)</f>
        <v>MAT067</v>
      </c>
      <c r="B69" s="10" t="str">
        <f aca="false">IF(listes!L68="","",listes!L68)</f>
        <v>mime et arts du geste</v>
      </c>
      <c r="R69" s="6" t="n">
        <v>1</v>
      </c>
    </row>
    <row r="70" customFormat="false" ht="13.5" hidden="false" customHeight="true" outlineLevel="0" collapsed="false">
      <c r="A70" s="1" t="str">
        <f aca="false">IF(listes!K69="","",listes!K69)</f>
        <v>MAT068</v>
      </c>
      <c r="B70" s="10" t="str">
        <f aca="false">IF(listes!L69="","",listes!L69)</f>
        <v>histoire des arts du cirque</v>
      </c>
      <c r="R70" s="6" t="n">
        <v>1</v>
      </c>
    </row>
    <row r="71" customFormat="false" ht="13.5" hidden="false" customHeight="true" outlineLevel="0" collapsed="false">
      <c r="A71" s="1" t="str">
        <f aca="false">IF(listes!K70="","",listes!K70)</f>
        <v>MAT069</v>
      </c>
      <c r="B71" s="10" t="str">
        <f aca="false">IF(listes!L70="","",listes!L70)</f>
        <v>espagnol</v>
      </c>
      <c r="V71" s="6" t="n">
        <v>1</v>
      </c>
      <c r="W71" s="6" t="n">
        <v>1</v>
      </c>
      <c r="X71" s="6" t="n">
        <v>1</v>
      </c>
      <c r="Y71" s="6" t="n">
        <v>1</v>
      </c>
      <c r="Z71" s="6" t="n">
        <v>1</v>
      </c>
      <c r="AA71" s="6" t="n">
        <v>1</v>
      </c>
      <c r="AB71" s="6" t="n">
        <v>1</v>
      </c>
      <c r="AC71" s="6" t="n">
        <v>1</v>
      </c>
      <c r="AD71" s="6" t="n">
        <v>1</v>
      </c>
      <c r="AE71" s="6" t="n">
        <v>1</v>
      </c>
      <c r="AF71" s="6" t="n">
        <v>1</v>
      </c>
      <c r="AH71" s="6" t="n">
        <v>1</v>
      </c>
      <c r="AR71" s="6" t="n">
        <v>1</v>
      </c>
      <c r="AS71" s="6" t="n">
        <v>1</v>
      </c>
      <c r="BS71" s="6" t="n">
        <v>1</v>
      </c>
      <c r="BU71" s="6" t="n">
        <v>1</v>
      </c>
      <c r="BV71" s="6" t="n">
        <v>1</v>
      </c>
      <c r="BZ71" s="6" t="n">
        <v>1</v>
      </c>
      <c r="CC71" s="6" t="n">
        <v>1</v>
      </c>
      <c r="CD71" s="6" t="n">
        <v>1</v>
      </c>
    </row>
    <row r="72" customFormat="false" ht="13.5" hidden="false" customHeight="true" outlineLevel="0" collapsed="false">
      <c r="A72" s="1" t="str">
        <f aca="false">IF(listes!K71="","",listes!K71)</f>
        <v>MAT070</v>
      </c>
      <c r="B72" s="10" t="str">
        <f aca="false">IF(listes!L71="","",listes!L71)</f>
        <v>allemand</v>
      </c>
      <c r="V72" s="6" t="n">
        <v>1</v>
      </c>
      <c r="W72" s="6" t="n">
        <v>1</v>
      </c>
      <c r="X72" s="6" t="n">
        <v>1</v>
      </c>
      <c r="Y72" s="6" t="n">
        <v>1</v>
      </c>
      <c r="Z72" s="6" t="n">
        <v>1</v>
      </c>
      <c r="AA72" s="6" t="n">
        <v>1</v>
      </c>
      <c r="AB72" s="6" t="n">
        <v>1</v>
      </c>
      <c r="AC72" s="6" t="n">
        <v>1</v>
      </c>
      <c r="AD72" s="6" t="n">
        <v>1</v>
      </c>
      <c r="AE72" s="6" t="n">
        <v>1</v>
      </c>
      <c r="AF72" s="6" t="n">
        <v>1</v>
      </c>
      <c r="AR72" s="6" t="n">
        <v>1</v>
      </c>
      <c r="BV72" s="6" t="n">
        <v>1</v>
      </c>
      <c r="CC72" s="6" t="n">
        <v>1</v>
      </c>
      <c r="CD72" s="6" t="n">
        <v>1</v>
      </c>
    </row>
    <row r="73" customFormat="false" ht="13.5" hidden="false" customHeight="true" outlineLevel="0" collapsed="false">
      <c r="A73" s="1" t="str">
        <f aca="false">IF(listes!K72="","",listes!K72)</f>
        <v>MAT071</v>
      </c>
      <c r="B73" s="10" t="str">
        <f aca="false">IF(listes!L72="","",listes!L72)</f>
        <v>italien</v>
      </c>
      <c r="V73" s="6" t="n">
        <v>1</v>
      </c>
      <c r="W73" s="6" t="n">
        <v>1</v>
      </c>
      <c r="X73" s="6" t="n">
        <v>1</v>
      </c>
      <c r="Y73" s="6" t="n">
        <v>1</v>
      </c>
      <c r="Z73" s="6" t="n">
        <v>1</v>
      </c>
      <c r="AA73" s="6" t="n">
        <v>1</v>
      </c>
      <c r="AB73" s="6" t="n">
        <v>1</v>
      </c>
      <c r="AC73" s="6" t="n">
        <v>1</v>
      </c>
      <c r="AD73" s="6" t="n">
        <v>1</v>
      </c>
      <c r="AE73" s="6" t="n">
        <v>1</v>
      </c>
      <c r="AF73" s="6" t="n">
        <v>1</v>
      </c>
      <c r="AR73" s="6" t="n">
        <v>1</v>
      </c>
      <c r="CC73" s="6" t="n">
        <v>1</v>
      </c>
      <c r="CD73" s="6" t="n">
        <v>1</v>
      </c>
    </row>
    <row r="74" customFormat="false" ht="13.5" hidden="false" customHeight="true" outlineLevel="0" collapsed="false">
      <c r="A74" s="1" t="str">
        <f aca="false">IF(listes!K73="","",listes!K73)</f>
        <v>MAT072</v>
      </c>
      <c r="B74" s="10" t="str">
        <f aca="false">IF(listes!L73="","",listes!L73)</f>
        <v>enseignement scientifique</v>
      </c>
      <c r="X74" s="6" t="n">
        <v>1</v>
      </c>
    </row>
    <row r="75" customFormat="false" ht="13.5" hidden="false" customHeight="true" outlineLevel="0" collapsed="false">
      <c r="A75" s="1" t="str">
        <f aca="false">IF(listes!K74="","",listes!K74)</f>
        <v>MAT073</v>
      </c>
      <c r="B75" s="10" t="str">
        <f aca="false">IF(listes!L74="","",listes!L74)</f>
        <v>mathématiques complémentaires</v>
      </c>
      <c r="X75" s="6" t="n">
        <v>1</v>
      </c>
    </row>
    <row r="76" customFormat="false" ht="13.5" hidden="false" customHeight="true" outlineLevel="0" collapsed="false">
      <c r="A76" s="1" t="str">
        <f aca="false">IF(listes!K75="","",listes!K75)</f>
        <v>MAT074</v>
      </c>
      <c r="B76" s="10" t="str">
        <f aca="false">IF(listes!L75="","",listes!L75)</f>
        <v>mathématiques expertes</v>
      </c>
      <c r="X76" s="6" t="n">
        <v>1</v>
      </c>
    </row>
    <row r="77" customFormat="false" ht="13.5" hidden="false" customHeight="true" outlineLevel="0" collapsed="false">
      <c r="A77" s="1" t="str">
        <f aca="false">IF(listes!K76="","",listes!K76)</f>
        <v>MAT075</v>
      </c>
      <c r="B77" s="10" t="str">
        <f aca="false">IF(listes!L76="","",listes!L76)</f>
        <v>biologie-écologie</v>
      </c>
      <c r="X77" s="6" t="n">
        <v>1</v>
      </c>
      <c r="AF77" s="6" t="n">
        <v>1</v>
      </c>
    </row>
    <row r="78" customFormat="false" ht="13.5" hidden="false" customHeight="true" outlineLevel="0" collapsed="false">
      <c r="A78" s="1" t="str">
        <f aca="false">IF(listes!K77="","",listes!K77)</f>
        <v>MAT076</v>
      </c>
      <c r="B78" s="10" t="str">
        <f aca="false">IF(listes!L77="","",listes!L77)</f>
        <v>management</v>
      </c>
      <c r="Y78" s="6" t="n">
        <v>1</v>
      </c>
      <c r="AS78" s="6" t="n">
        <v>1</v>
      </c>
      <c r="BN78" s="6" t="n">
        <v>1</v>
      </c>
      <c r="BO78" s="6" t="n">
        <v>1</v>
      </c>
      <c r="BS78" s="6" t="n">
        <v>1</v>
      </c>
      <c r="BU78" s="6" t="n">
        <v>1</v>
      </c>
      <c r="BW78" s="6" t="n">
        <v>1</v>
      </c>
      <c r="BX78" s="6" t="n">
        <v>1</v>
      </c>
    </row>
    <row r="79" customFormat="false" ht="13.5" hidden="false" customHeight="true" outlineLevel="0" collapsed="false">
      <c r="A79" s="1" t="str">
        <f aca="false">IF(listes!K78="","",listes!K78)</f>
        <v>MAT077</v>
      </c>
      <c r="B79" s="10" t="str">
        <f aca="false">IF(listes!L78="","",listes!L78)</f>
        <v>sciences de gestion et numérique</v>
      </c>
      <c r="Y79" s="6" t="n">
        <v>1</v>
      </c>
    </row>
    <row r="80" customFormat="false" ht="13.5" hidden="false" customHeight="true" outlineLevel="0" collapsed="false">
      <c r="A80" s="1" t="str">
        <f aca="false">IF(listes!K79="","",listes!K79)</f>
        <v>MAT078</v>
      </c>
      <c r="B80" s="10" t="str">
        <f aca="false">IF(listes!L79="","",listes!L79)</f>
        <v>droit et économie</v>
      </c>
      <c r="Y80" s="6" t="n">
        <v>1</v>
      </c>
    </row>
    <row r="81" customFormat="false" ht="13.5" hidden="false" customHeight="true" outlineLevel="0" collapsed="false">
      <c r="A81" s="1" t="str">
        <f aca="false">IF(listes!K80="","",listes!K80)</f>
        <v>MAT079</v>
      </c>
      <c r="B81" s="10" t="str">
        <f aca="false">IF(listes!L80="","",listes!L80)</f>
        <v>innovation technologique</v>
      </c>
      <c r="Z81" s="6" t="n">
        <v>1</v>
      </c>
    </row>
    <row r="82" customFormat="false" ht="13.5" hidden="false" customHeight="true" outlineLevel="0" collapsed="false">
      <c r="A82" s="1" t="str">
        <f aca="false">IF(listes!K81="","",listes!K81)</f>
        <v>MAT080</v>
      </c>
      <c r="B82" s="10" t="str">
        <f aca="false">IF(listes!L81="","",listes!L81)</f>
        <v>ingénierie et développement durable (2I2D)</v>
      </c>
      <c r="Z82" s="6" t="n">
        <v>1</v>
      </c>
    </row>
    <row r="83" customFormat="false" ht="13.5" hidden="false" customHeight="true" outlineLevel="0" collapsed="false">
      <c r="A83" s="1" t="str">
        <f aca="false">IF(listes!K82="","",listes!K82)</f>
        <v>MAT081</v>
      </c>
      <c r="B83" s="10" t="str">
        <f aca="false">IF(listes!L82="","",listes!L82)</f>
        <v>biochimie</v>
      </c>
      <c r="AA83" s="6" t="n">
        <v>1</v>
      </c>
      <c r="AV83" s="6" t="n">
        <v>1</v>
      </c>
      <c r="AX83" s="6" t="n">
        <v>1</v>
      </c>
      <c r="BH83" s="6" t="n">
        <v>1</v>
      </c>
      <c r="BO83" s="6" t="n">
        <v>1</v>
      </c>
    </row>
    <row r="84" customFormat="false" ht="13.5" hidden="false" customHeight="true" outlineLevel="0" collapsed="false">
      <c r="A84" s="1" t="str">
        <f aca="false">IF(listes!K83="","",listes!K83)</f>
        <v>MAT082</v>
      </c>
      <c r="B84" s="10" t="str">
        <f aca="false">IF(listes!L83="","",listes!L83)</f>
        <v>biotechnologies</v>
      </c>
      <c r="AA84" s="6" t="n">
        <v>1</v>
      </c>
      <c r="AP84" s="6" t="n">
        <v>1</v>
      </c>
    </row>
    <row r="85" customFormat="false" ht="13.5" hidden="false" customHeight="true" outlineLevel="0" collapsed="false">
      <c r="A85" s="1" t="str">
        <f aca="false">IF(listes!K84="","",listes!K84)</f>
        <v>MAT083</v>
      </c>
      <c r="B85" s="10" t="str">
        <f aca="false">IF(listes!L84="","",listes!L84)</f>
        <v>sciences et techniques sanitaires et sociales</v>
      </c>
      <c r="AB85" s="6" t="n">
        <v>1</v>
      </c>
    </row>
    <row r="86" customFormat="false" ht="13.5" hidden="false" customHeight="true" outlineLevel="0" collapsed="false">
      <c r="A86" s="1" t="str">
        <f aca="false">IF(listes!K85="","",listes!K85)</f>
        <v>MAT084</v>
      </c>
      <c r="B86" s="10" t="str">
        <f aca="false">IF(listes!L85="","",listes!L85)</f>
        <v>biologie et physiopathologie humaines</v>
      </c>
      <c r="AB86" s="6" t="n">
        <v>1</v>
      </c>
    </row>
    <row r="87" customFormat="false" ht="13.5" hidden="false" customHeight="true" outlineLevel="0" collapsed="false">
      <c r="A87" s="1" t="str">
        <f aca="false">IF(listes!K86="","",listes!K86)</f>
        <v>MAT085</v>
      </c>
      <c r="B87" s="10" t="str">
        <f aca="false">IF(listes!L86="","",listes!L86)</f>
        <v>économie et gestion hôtelière</v>
      </c>
      <c r="AD87" s="6" t="n">
        <v>1</v>
      </c>
      <c r="BZ87" s="6" t="n">
        <v>1</v>
      </c>
    </row>
    <row r="88" customFormat="false" ht="13.5" hidden="false" customHeight="true" outlineLevel="0" collapsed="false">
      <c r="A88" s="1" t="str">
        <f aca="false">IF(listes!K87="","",listes!K87)</f>
        <v>MAT086</v>
      </c>
      <c r="B88" s="10" t="str">
        <f aca="false">IF(listes!L87="","",listes!L87)</f>
        <v>sciences et technologies culinaires et des services</v>
      </c>
      <c r="AD88" s="6" t="n">
        <v>1</v>
      </c>
    </row>
    <row r="89" customFormat="false" ht="13.5" hidden="false" customHeight="true" outlineLevel="0" collapsed="false">
      <c r="A89" s="1" t="str">
        <f aca="false">IF(listes!K88="","",listes!K88)</f>
        <v>MAT087</v>
      </c>
      <c r="B89" s="10" t="str">
        <f aca="false">IF(listes!L88="","",listes!L88)</f>
        <v>agronomie</v>
      </c>
      <c r="AF89" s="6" t="n">
        <v>1</v>
      </c>
      <c r="BO89" s="6" t="n">
        <v>1</v>
      </c>
    </row>
    <row r="90" customFormat="false" ht="13.5" hidden="false" customHeight="true" outlineLevel="0" collapsed="false">
      <c r="A90" s="1" t="str">
        <f aca="false">IF(listes!K89="","",listes!K89)</f>
        <v>MAT088</v>
      </c>
      <c r="B90" s="10" t="str">
        <f aca="false">IF(listes!L89="","",listes!L89)</f>
        <v>arts appliqués</v>
      </c>
      <c r="AG90" s="6" t="n">
        <v>1</v>
      </c>
      <c r="AH90" s="6" t="n">
        <v>1</v>
      </c>
      <c r="AI90" s="6" t="n">
        <v>1</v>
      </c>
      <c r="CL90" s="6" t="n">
        <v>1</v>
      </c>
    </row>
    <row r="91" customFormat="false" ht="13.5" hidden="false" customHeight="true" outlineLevel="0" collapsed="false">
      <c r="A91" s="1" t="str">
        <f aca="false">IF(listes!K90="","",listes!K90)</f>
        <v>MAT089</v>
      </c>
      <c r="B91" s="10" t="str">
        <f aca="false">IF(listes!L90="","",listes!L90)</f>
        <v>prévention santé environnement (PSE)</v>
      </c>
      <c r="AG91" s="6" t="n">
        <v>1</v>
      </c>
      <c r="AH91" s="6" t="n">
        <v>1</v>
      </c>
      <c r="AI91" s="6" t="n">
        <v>1</v>
      </c>
    </row>
    <row r="92" customFormat="false" ht="13.5" hidden="false" customHeight="true" outlineLevel="0" collapsed="false">
      <c r="A92" s="1" t="str">
        <f aca="false">IF(listes!K91="","",listes!K91)</f>
        <v>MAT090</v>
      </c>
      <c r="B92" s="10" t="str">
        <f aca="false">IF(listes!L91="","",listes!L91)</f>
        <v>économie-gestion</v>
      </c>
      <c r="AG92" s="6" t="n">
        <v>1</v>
      </c>
    </row>
    <row r="93" customFormat="false" ht="13.5" hidden="false" customHeight="true" outlineLevel="0" collapsed="false">
      <c r="A93" s="1" t="str">
        <f aca="false">IF(listes!K92="","",listes!K92)</f>
        <v>MAT091</v>
      </c>
      <c r="B93" s="10" t="str">
        <f aca="false">IF(listes!L92="","",listes!L92)</f>
        <v>enseignement professionnel</v>
      </c>
      <c r="AG93" s="6" t="n">
        <v>1</v>
      </c>
      <c r="AH93" s="6" t="n">
        <v>1</v>
      </c>
      <c r="AI93" s="6" t="n">
        <v>1</v>
      </c>
    </row>
    <row r="94" customFormat="false" ht="13.5" hidden="false" customHeight="true" outlineLevel="0" collapsed="false">
      <c r="A94" s="1" t="str">
        <f aca="false">IF(listes!K93="","",listes!K93)</f>
        <v>MAT092</v>
      </c>
      <c r="B94" s="10" t="str">
        <f aca="false">IF(listes!L93="","",listes!L93)</f>
        <v>économie-droit</v>
      </c>
      <c r="AH94" s="6" t="n">
        <v>1</v>
      </c>
    </row>
    <row r="95" customFormat="false" ht="13.5" hidden="false" customHeight="true" outlineLevel="0" collapsed="false">
      <c r="A95" s="1" t="str">
        <f aca="false">IF(listes!K94="","",listes!K94)</f>
        <v>MAT093</v>
      </c>
      <c r="B95" s="10" t="str">
        <f aca="false">IF(listes!L94="","",listes!L94)</f>
        <v>économie, sociologie et histoire (ESH)</v>
      </c>
      <c r="AR95" s="6" t="n">
        <v>1</v>
      </c>
    </row>
    <row r="96" customFormat="false" ht="13.5" hidden="false" customHeight="true" outlineLevel="0" collapsed="false">
      <c r="A96" s="1" t="str">
        <f aca="false">IF(listes!K95="","",listes!K95)</f>
        <v>MAT094</v>
      </c>
      <c r="B96" s="10" t="str">
        <f aca="false">IF(listes!L95="","",listes!L95)</f>
        <v>histoire, géographie et géopolitique (HGG)</v>
      </c>
      <c r="AR96" s="6" t="n">
        <v>1</v>
      </c>
    </row>
    <row r="97" customFormat="false" ht="13.5" hidden="false" customHeight="true" outlineLevel="0" collapsed="false">
      <c r="A97" s="1" t="str">
        <f aca="false">IF(listes!K96="","",listes!K96)</f>
        <v>MAT095</v>
      </c>
      <c r="B97" s="10" t="str">
        <f aca="false">IF(listes!L96="","",listes!L96)</f>
        <v>droit</v>
      </c>
      <c r="AS97" s="6" t="n">
        <v>1</v>
      </c>
      <c r="BD97" s="6" t="n">
        <v>1</v>
      </c>
      <c r="CA97" s="6" t="n">
        <v>1</v>
      </c>
      <c r="CB97" s="6" t="n">
        <v>1</v>
      </c>
      <c r="CD97" s="6" t="n">
        <v>1</v>
      </c>
    </row>
    <row r="98" customFormat="false" ht="13.5" hidden="false" customHeight="true" outlineLevel="0" collapsed="false">
      <c r="A98" s="1" t="str">
        <f aca="false">IF(listes!K97="","",listes!K97)</f>
        <v>MAT096</v>
      </c>
      <c r="B98" s="10" t="str">
        <f aca="false">IF(listes!L97="","",listes!L97)</f>
        <v>droit civil</v>
      </c>
      <c r="AT98" s="6" t="n">
        <v>1</v>
      </c>
      <c r="AU98" s="6" t="n">
        <v>1</v>
      </c>
      <c r="BP98" s="6" t="n">
        <v>1</v>
      </c>
    </row>
    <row r="99" customFormat="false" ht="13.5" hidden="false" customHeight="true" outlineLevel="0" collapsed="false">
      <c r="A99" s="1" t="str">
        <f aca="false">IF(listes!K98="","",listes!K98)</f>
        <v>MAT097</v>
      </c>
      <c r="B99" s="10" t="str">
        <f aca="false">IF(listes!L98="","",listes!L98)</f>
        <v>droit constitutionnel</v>
      </c>
      <c r="AT99" s="6" t="n">
        <v>1</v>
      </c>
      <c r="BP99" s="6" t="n">
        <v>1</v>
      </c>
      <c r="BQ99" s="6" t="n">
        <v>1</v>
      </c>
      <c r="CM99" s="6" t="n">
        <v>1</v>
      </c>
    </row>
    <row r="100" customFormat="false" ht="13.5" hidden="false" customHeight="true" outlineLevel="0" collapsed="false">
      <c r="A100" s="1" t="str">
        <f aca="false">IF(listes!K99="","",listes!K99)</f>
        <v>MAT098</v>
      </c>
      <c r="B100" s="10" t="str">
        <f aca="false">IF(listes!L99="","",listes!L99)</f>
        <v>microéconomie</v>
      </c>
      <c r="AT100" s="6" t="n">
        <v>1</v>
      </c>
      <c r="AU100" s="6" t="n">
        <v>1</v>
      </c>
      <c r="BR100" s="6" t="n">
        <v>1</v>
      </c>
    </row>
    <row r="101" customFormat="false" ht="13.5" hidden="false" customHeight="true" outlineLevel="0" collapsed="false">
      <c r="A101" s="1" t="str">
        <f aca="false">IF(listes!K100="","",listes!K100)</f>
        <v>MAT099</v>
      </c>
      <c r="B101" s="10" t="str">
        <f aca="false">IF(listes!L100="","",listes!L100)</f>
        <v>macroéconomie</v>
      </c>
      <c r="AT101" s="6" t="n">
        <v>1</v>
      </c>
      <c r="AU101" s="6" t="n">
        <v>1</v>
      </c>
      <c r="BR101" s="6" t="n">
        <v>1</v>
      </c>
    </row>
    <row r="102" customFormat="false" ht="13.5" hidden="false" customHeight="true" outlineLevel="0" collapsed="false">
      <c r="A102" s="1" t="str">
        <f aca="false">IF(listes!K101="","",listes!K101)</f>
        <v>MAT100</v>
      </c>
      <c r="B102" s="10" t="str">
        <f aca="false">IF(listes!L101="","",listes!L101)</f>
        <v>gestion</v>
      </c>
      <c r="AU102" s="6" t="n">
        <v>1</v>
      </c>
      <c r="BS102" s="6" t="n">
        <v>1</v>
      </c>
    </row>
    <row r="103" customFormat="false" ht="13.5" hidden="false" customHeight="true" outlineLevel="0" collapsed="false">
      <c r="A103" s="1" t="str">
        <f aca="false">IF(listes!K102="","",listes!K102)</f>
        <v>MAT101</v>
      </c>
      <c r="B103" s="10" t="str">
        <f aca="false">IF(listes!L102="","",listes!L102)</f>
        <v>biologie cellulaire</v>
      </c>
      <c r="AV103" s="6" t="n">
        <v>1</v>
      </c>
      <c r="BH103" s="6" t="n">
        <v>1</v>
      </c>
    </row>
    <row r="104" customFormat="false" ht="13.5" hidden="false" customHeight="true" outlineLevel="0" collapsed="false">
      <c r="A104" s="1" t="str">
        <f aca="false">IF(listes!K103="","",listes!K103)</f>
        <v>MAT102</v>
      </c>
      <c r="B104" s="10" t="str">
        <f aca="false">IF(listes!L103="","",listes!L103)</f>
        <v>biophysique</v>
      </c>
      <c r="AV104" s="6" t="n">
        <v>1</v>
      </c>
    </row>
    <row r="105" customFormat="false" ht="13.5" hidden="false" customHeight="true" outlineLevel="0" collapsed="false">
      <c r="A105" s="1" t="str">
        <f aca="false">IF(listes!K104="","",listes!K104)</f>
        <v>MAT103</v>
      </c>
      <c r="B105" s="10" t="str">
        <f aca="false">IF(listes!L104="","",listes!L104)</f>
        <v>physiologie</v>
      </c>
      <c r="AV105" s="6" t="n">
        <v>1</v>
      </c>
      <c r="AW105" s="6" t="n">
        <v>1</v>
      </c>
      <c r="AX105" s="6" t="n">
        <v>1</v>
      </c>
      <c r="AY105" s="6" t="n">
        <v>1</v>
      </c>
      <c r="AZ105" s="6" t="n">
        <v>1</v>
      </c>
      <c r="BA105" s="6" t="n">
        <v>1</v>
      </c>
      <c r="BB105" s="6" t="n">
        <v>1</v>
      </c>
      <c r="BC105" s="6" t="n">
        <v>1</v>
      </c>
      <c r="BH105" s="6" t="n">
        <v>1</v>
      </c>
      <c r="CK105" s="6" t="n">
        <v>1</v>
      </c>
    </row>
    <row r="106" customFormat="false" ht="13.5" hidden="false" customHeight="true" outlineLevel="0" collapsed="false">
      <c r="A106" s="1" t="str">
        <f aca="false">IF(listes!K105="","",listes!K105)</f>
        <v>MAT104</v>
      </c>
      <c r="B106" s="10" t="str">
        <f aca="false">IF(listes!L105="","",listes!L105)</f>
        <v>histologie-embryologie</v>
      </c>
      <c r="AV106" s="6" t="n">
        <v>1</v>
      </c>
    </row>
    <row r="107" customFormat="false" ht="13.5" hidden="false" customHeight="true" outlineLevel="0" collapsed="false">
      <c r="A107" s="1" t="str">
        <f aca="false">IF(listes!K106="","",listes!K106)</f>
        <v>MAT105</v>
      </c>
      <c r="B107" s="10" t="str">
        <f aca="false">IF(listes!L106="","",listes!L106)</f>
        <v>génétique</v>
      </c>
      <c r="AV107" s="6" t="n">
        <v>1</v>
      </c>
      <c r="BH107" s="6" t="n">
        <v>1</v>
      </c>
    </row>
    <row r="108" customFormat="false" ht="13.5" hidden="false" customHeight="true" outlineLevel="0" collapsed="false">
      <c r="A108" s="1" t="str">
        <f aca="false">IF(listes!K107="","",listes!K107)</f>
        <v>MAT106</v>
      </c>
      <c r="B108" s="10" t="str">
        <f aca="false">IF(listes!L107="","",listes!L107)</f>
        <v>statistiques</v>
      </c>
      <c r="AV108" s="6" t="n">
        <v>1</v>
      </c>
      <c r="BE108" s="6" t="n">
        <v>1</v>
      </c>
      <c r="BH108" s="6" t="n">
        <v>1</v>
      </c>
      <c r="BR108" s="6" t="n">
        <v>1</v>
      </c>
      <c r="CH108" s="6" t="n">
        <v>1</v>
      </c>
      <c r="CI108" s="6" t="n">
        <v>1</v>
      </c>
    </row>
    <row r="109" customFormat="false" ht="13.5" hidden="false" customHeight="true" outlineLevel="0" collapsed="false">
      <c r="A109" s="1" t="str">
        <f aca="false">IF(listes!K108="","",listes!K108)</f>
        <v>MAT107</v>
      </c>
      <c r="B109" s="10" t="str">
        <f aca="false">IF(listes!L108="","",listes!L108)</f>
        <v>santé publique</v>
      </c>
      <c r="AV109" s="6" t="n">
        <v>1</v>
      </c>
      <c r="AW109" s="6" t="n">
        <v>1</v>
      </c>
      <c r="AZ109" s="6" t="n">
        <v>1</v>
      </c>
      <c r="BA109" s="6" t="n">
        <v>1</v>
      </c>
      <c r="BB109" s="6" t="n">
        <v>1</v>
      </c>
    </row>
    <row r="110" customFormat="false" ht="13.5" hidden="false" customHeight="true" outlineLevel="0" collapsed="false">
      <c r="A110" s="1" t="str">
        <f aca="false">IF(listes!K109="","",listes!K109)</f>
        <v>MAT108</v>
      </c>
      <c r="B110" s="10" t="str">
        <f aca="false">IF(listes!L109="","",listes!L109)</f>
        <v>sciences humaines et sociales (santé)</v>
      </c>
      <c r="AV110" s="6" t="n">
        <v>1</v>
      </c>
    </row>
    <row r="111" customFormat="false" ht="13.5" hidden="false" customHeight="true" outlineLevel="0" collapsed="false">
      <c r="A111" s="1" t="str">
        <f aca="false">IF(listes!K110="","",listes!K110)</f>
        <v>MAT109</v>
      </c>
      <c r="B111" s="10" t="str">
        <f aca="false">IF(listes!L110="","",listes!L110)</f>
        <v>sémiologie</v>
      </c>
      <c r="AW111" s="6" t="n">
        <v>1</v>
      </c>
    </row>
    <row r="112" customFormat="false" ht="13.5" hidden="false" customHeight="true" outlineLevel="0" collapsed="false">
      <c r="A112" s="1" t="str">
        <f aca="false">IF(listes!K111="","",listes!K111)</f>
        <v>MAT110</v>
      </c>
      <c r="B112" s="10" t="str">
        <f aca="false">IF(listes!L111="","",listes!L111)</f>
        <v>pharmacologie</v>
      </c>
      <c r="AW112" s="6" t="n">
        <v>1</v>
      </c>
      <c r="AX112" s="6" t="n">
        <v>1</v>
      </c>
      <c r="AY112" s="6" t="n">
        <v>1</v>
      </c>
      <c r="AZ112" s="6" t="n">
        <v>1</v>
      </c>
      <c r="BA112" s="6" t="n">
        <v>1</v>
      </c>
      <c r="BC112" s="6" t="n">
        <v>1</v>
      </c>
    </row>
    <row r="113" customFormat="false" ht="13.5" hidden="false" customHeight="true" outlineLevel="0" collapsed="false">
      <c r="A113" s="1" t="str">
        <f aca="false">IF(listes!K112="","",listes!K112)</f>
        <v>MAT111</v>
      </c>
      <c r="B113" s="10" t="str">
        <f aca="false">IF(listes!L112="","",listes!L112)</f>
        <v>immunologie</v>
      </c>
      <c r="AW113" s="6" t="n">
        <v>1</v>
      </c>
      <c r="AX113" s="6" t="n">
        <v>1</v>
      </c>
      <c r="BC113" s="6" t="n">
        <v>1</v>
      </c>
    </row>
    <row r="114" customFormat="false" ht="13.5" hidden="false" customHeight="true" outlineLevel="0" collapsed="false">
      <c r="A114" s="1" t="str">
        <f aca="false">IF(listes!K113="","",listes!K113)</f>
        <v>MAT112</v>
      </c>
      <c r="B114" s="10" t="str">
        <f aca="false">IF(listes!L113="","",listes!L113)</f>
        <v>microbiologie</v>
      </c>
      <c r="AW114" s="6" t="n">
        <v>1</v>
      </c>
      <c r="AX114" s="6" t="n">
        <v>1</v>
      </c>
      <c r="AY114" s="6" t="n">
        <v>1</v>
      </c>
      <c r="BC114" s="6" t="n">
        <v>1</v>
      </c>
      <c r="BH114" s="6" t="n">
        <v>1</v>
      </c>
    </row>
    <row r="115" customFormat="false" ht="13.5" hidden="false" customHeight="true" outlineLevel="0" collapsed="false">
      <c r="A115" s="1" t="str">
        <f aca="false">IF(listes!K114="","",listes!K114)</f>
        <v>MAT113</v>
      </c>
      <c r="B115" s="10" t="str">
        <f aca="false">IF(listes!L114="","",listes!L114)</f>
        <v>cardiologie</v>
      </c>
      <c r="AW115" s="6" t="n">
        <v>1</v>
      </c>
    </row>
    <row r="116" customFormat="false" ht="13.5" hidden="false" customHeight="true" outlineLevel="0" collapsed="false">
      <c r="A116" s="1" t="str">
        <f aca="false">IF(listes!K115="","",listes!K115)</f>
        <v>MAT114</v>
      </c>
      <c r="B116" s="10" t="str">
        <f aca="false">IF(listes!L115="","",listes!L115)</f>
        <v>pneumologie</v>
      </c>
      <c r="AW116" s="6" t="n">
        <v>1</v>
      </c>
    </row>
    <row r="117" customFormat="false" ht="13.5" hidden="false" customHeight="true" outlineLevel="0" collapsed="false">
      <c r="A117" s="1" t="str">
        <f aca="false">IF(listes!K116="","",listes!K116)</f>
        <v>MAT115</v>
      </c>
      <c r="B117" s="10" t="str">
        <f aca="false">IF(listes!L116="","",listes!L116)</f>
        <v>gastro-entérologie</v>
      </c>
      <c r="AW117" s="6" t="n">
        <v>1</v>
      </c>
    </row>
    <row r="118" customFormat="false" ht="13.5" hidden="false" customHeight="true" outlineLevel="0" collapsed="false">
      <c r="A118" s="1" t="str">
        <f aca="false">IF(listes!K117="","",listes!K117)</f>
        <v>MAT116</v>
      </c>
      <c r="B118" s="10" t="str">
        <f aca="false">IF(listes!L117="","",listes!L117)</f>
        <v>néphrologie</v>
      </c>
      <c r="AW118" s="6" t="n">
        <v>1</v>
      </c>
    </row>
    <row r="119" customFormat="false" ht="13.5" hidden="false" customHeight="true" outlineLevel="0" collapsed="false">
      <c r="A119" s="1" t="str">
        <f aca="false">IF(listes!K118="","",listes!K118)</f>
        <v>MAT117</v>
      </c>
      <c r="B119" s="10" t="str">
        <f aca="false">IF(listes!L118="","",listes!L118)</f>
        <v>neurologie</v>
      </c>
      <c r="AW119" s="6" t="n">
        <v>1</v>
      </c>
      <c r="BB119" s="6" t="n">
        <v>1</v>
      </c>
    </row>
    <row r="120" customFormat="false" ht="13.5" hidden="false" customHeight="true" outlineLevel="0" collapsed="false">
      <c r="A120" s="1" t="str">
        <f aca="false">IF(listes!K119="","",listes!K119)</f>
        <v>MAT118</v>
      </c>
      <c r="B120" s="10" t="str">
        <f aca="false">IF(listes!L119="","",listes!L119)</f>
        <v>psychiatrie</v>
      </c>
      <c r="AW120" s="6" t="n">
        <v>1</v>
      </c>
    </row>
    <row r="121" customFormat="false" ht="13.5" hidden="false" customHeight="true" outlineLevel="0" collapsed="false">
      <c r="A121" s="1" t="str">
        <f aca="false">IF(listes!K120="","",listes!K120)</f>
        <v>MAT119</v>
      </c>
      <c r="B121" s="10" t="str">
        <f aca="false">IF(listes!L120="","",listes!L120)</f>
        <v>pédiatrie</v>
      </c>
      <c r="AW121" s="6" t="n">
        <v>1</v>
      </c>
      <c r="AZ121" s="6" t="n">
        <v>1</v>
      </c>
    </row>
    <row r="122" customFormat="false" ht="13.5" hidden="false" customHeight="true" outlineLevel="0" collapsed="false">
      <c r="A122" s="1" t="str">
        <f aca="false">IF(listes!K121="","",listes!K121)</f>
        <v>MAT120</v>
      </c>
      <c r="B122" s="10" t="str">
        <f aca="false">IF(listes!L121="","",listes!L121)</f>
        <v>gynécologie-obstétrique</v>
      </c>
      <c r="AW122" s="6" t="n">
        <v>1</v>
      </c>
      <c r="AZ122" s="6" t="n">
        <v>1</v>
      </c>
    </row>
    <row r="123" customFormat="false" ht="13.5" hidden="false" customHeight="true" outlineLevel="0" collapsed="false">
      <c r="A123" s="1" t="str">
        <f aca="false">IF(listes!K122="","",listes!K122)</f>
        <v>MAT121</v>
      </c>
      <c r="B123" s="10" t="str">
        <f aca="false">IF(listes!L122="","",listes!L122)</f>
        <v>infectiologie</v>
      </c>
      <c r="AW123" s="6" t="n">
        <v>1</v>
      </c>
    </row>
    <row r="124" customFormat="false" ht="13.5" hidden="false" customHeight="true" outlineLevel="0" collapsed="false">
      <c r="A124" s="1" t="str">
        <f aca="false">IF(listes!K123="","",listes!K123)</f>
        <v>MAT122</v>
      </c>
      <c r="B124" s="10" t="str">
        <f aca="false">IF(listes!L123="","",listes!L123)</f>
        <v>dermatologie</v>
      </c>
      <c r="AW124" s="6" t="n">
        <v>1</v>
      </c>
    </row>
    <row r="125" customFormat="false" ht="13.5" hidden="false" customHeight="true" outlineLevel="0" collapsed="false">
      <c r="A125" s="1" t="str">
        <f aca="false">IF(listes!K124="","",listes!K124)</f>
        <v>MAT123</v>
      </c>
      <c r="B125" s="10" t="str">
        <f aca="false">IF(listes!L124="","",listes!L124)</f>
        <v>endocrinologie</v>
      </c>
      <c r="AW125" s="6" t="n">
        <v>1</v>
      </c>
    </row>
    <row r="126" customFormat="false" ht="13.5" hidden="false" customHeight="true" outlineLevel="0" collapsed="false">
      <c r="A126" s="1" t="str">
        <f aca="false">IF(listes!K125="","",listes!K125)</f>
        <v>MAT124</v>
      </c>
      <c r="B126" s="10" t="str">
        <f aca="false">IF(listes!L125="","",listes!L125)</f>
        <v>hématologie</v>
      </c>
      <c r="AW126" s="6" t="n">
        <v>1</v>
      </c>
    </row>
    <row r="127" customFormat="false" ht="13.5" hidden="false" customHeight="true" outlineLevel="0" collapsed="false">
      <c r="A127" s="1" t="str">
        <f aca="false">IF(listes!K126="","",listes!K126)</f>
        <v>MAT125</v>
      </c>
      <c r="B127" s="10" t="str">
        <f aca="false">IF(listes!L126="","",listes!L126)</f>
        <v>cancérologie</v>
      </c>
      <c r="AW127" s="6" t="n">
        <v>1</v>
      </c>
    </row>
    <row r="128" customFormat="false" ht="13.5" hidden="false" customHeight="true" outlineLevel="0" collapsed="false">
      <c r="A128" s="1" t="str">
        <f aca="false">IF(listes!K127="","",listes!K127)</f>
        <v>MAT126</v>
      </c>
      <c r="B128" s="10" t="str">
        <f aca="false">IF(listes!L127="","",listes!L127)</f>
        <v>urgences et réanimation</v>
      </c>
      <c r="AW128" s="6" t="n">
        <v>1</v>
      </c>
    </row>
    <row r="129" customFormat="false" ht="13.5" hidden="false" customHeight="true" outlineLevel="0" collapsed="false">
      <c r="A129" s="1" t="str">
        <f aca="false">IF(listes!K128="","",listes!K128)</f>
        <v>MAT127</v>
      </c>
      <c r="B129" s="10" t="str">
        <f aca="false">IF(listes!L128="","",listes!L128)</f>
        <v>chirurgie</v>
      </c>
      <c r="AW129" s="6" t="n">
        <v>1</v>
      </c>
    </row>
    <row r="130" customFormat="false" ht="13.5" hidden="false" customHeight="true" outlineLevel="0" collapsed="false">
      <c r="A130" s="1" t="str">
        <f aca="false">IF(listes!K129="","",listes!K129)</f>
        <v>MAT128</v>
      </c>
      <c r="B130" s="10" t="str">
        <f aca="false">IF(listes!L129="","",listes!L129)</f>
        <v>éthique et législation</v>
      </c>
      <c r="AW130" s="6" t="n">
        <v>1</v>
      </c>
      <c r="AX130" s="6" t="n">
        <v>1</v>
      </c>
      <c r="AZ130" s="6" t="n">
        <v>1</v>
      </c>
      <c r="BA130" s="6" t="n">
        <v>1</v>
      </c>
    </row>
    <row r="131" customFormat="false" ht="13.5" hidden="false" customHeight="true" outlineLevel="0" collapsed="false">
      <c r="A131" s="1" t="str">
        <f aca="false">IF(listes!K130="","",listes!K130)</f>
        <v>MAT129</v>
      </c>
      <c r="B131" s="10" t="str">
        <f aca="false">IF(listes!L130="","",listes!L130)</f>
        <v>chimie organique</v>
      </c>
      <c r="AX131" s="6" t="n">
        <v>1</v>
      </c>
      <c r="BG131" s="6" t="n">
        <v>1</v>
      </c>
      <c r="BM131" s="6" t="n">
        <v>1</v>
      </c>
    </row>
    <row r="132" customFormat="false" ht="13.5" hidden="false" customHeight="true" outlineLevel="0" collapsed="false">
      <c r="A132" s="1" t="str">
        <f aca="false">IF(listes!K131="","",listes!K131)</f>
        <v>MAT130</v>
      </c>
      <c r="B132" s="10" t="str">
        <f aca="false">IF(listes!L131="","",listes!L131)</f>
        <v>chimie analytique</v>
      </c>
      <c r="AX132" s="6" t="n">
        <v>1</v>
      </c>
      <c r="BM132" s="6" t="n">
        <v>1</v>
      </c>
    </row>
    <row r="133" customFormat="false" ht="13.5" hidden="false" customHeight="true" outlineLevel="0" collapsed="false">
      <c r="A133" s="1" t="str">
        <f aca="false">IF(listes!K132="","",listes!K132)</f>
        <v>MAT131</v>
      </c>
      <c r="B133" s="10" t="str">
        <f aca="false">IF(listes!L132="","",listes!L132)</f>
        <v>pharmacie galénique</v>
      </c>
      <c r="AX133" s="6" t="n">
        <v>1</v>
      </c>
    </row>
    <row r="134" customFormat="false" ht="13.5" hidden="false" customHeight="true" outlineLevel="0" collapsed="false">
      <c r="A134" s="1" t="str">
        <f aca="false">IF(listes!K133="","",listes!K133)</f>
        <v>MAT132</v>
      </c>
      <c r="B134" s="10" t="str">
        <f aca="false">IF(listes!L133="","",listes!L133)</f>
        <v>toxicologie</v>
      </c>
      <c r="AX134" s="6" t="n">
        <v>1</v>
      </c>
    </row>
    <row r="135" customFormat="false" ht="13.5" hidden="false" customHeight="true" outlineLevel="0" collapsed="false">
      <c r="A135" s="1" t="str">
        <f aca="false">IF(listes!K134="","",listes!K134)</f>
        <v>MAT133</v>
      </c>
      <c r="B135" s="10" t="str">
        <f aca="false">IF(listes!L134="","",listes!L134)</f>
        <v>pharmacognosie et botanique</v>
      </c>
      <c r="AX135" s="6" t="n">
        <v>1</v>
      </c>
    </row>
    <row r="136" customFormat="false" ht="13.5" hidden="false" customHeight="true" outlineLevel="0" collapsed="false">
      <c r="A136" s="1" t="str">
        <f aca="false">IF(listes!K135="","",listes!K135)</f>
        <v>MAT134</v>
      </c>
      <c r="B136" s="10" t="str">
        <f aca="false">IF(listes!L135="","",listes!L135)</f>
        <v>odontologie</v>
      </c>
      <c r="AY136" s="6" t="n">
        <v>1</v>
      </c>
    </row>
    <row r="137" customFormat="false" ht="13.5" hidden="false" customHeight="true" outlineLevel="0" collapsed="false">
      <c r="A137" s="1" t="str">
        <f aca="false">IF(listes!K136="","",listes!K136)</f>
        <v>MAT135</v>
      </c>
      <c r="B137" s="10" t="str">
        <f aca="false">IF(listes!L136="","",listes!L136)</f>
        <v>biomatériaux</v>
      </c>
      <c r="AY137" s="6" t="n">
        <v>1</v>
      </c>
    </row>
    <row r="138" customFormat="false" ht="13.5" hidden="false" customHeight="true" outlineLevel="0" collapsed="false">
      <c r="A138" s="1" t="str">
        <f aca="false">IF(listes!K137="","",listes!K137)</f>
        <v>MAT136</v>
      </c>
      <c r="B138" s="10" t="str">
        <f aca="false">IF(listes!L137="","",listes!L137)</f>
        <v>sciences et techniques infirmières</v>
      </c>
      <c r="BA138" s="6" t="n">
        <v>1</v>
      </c>
    </row>
    <row r="139" customFormat="false" ht="13.5" hidden="false" customHeight="true" outlineLevel="0" collapsed="false">
      <c r="A139" s="1" t="str">
        <f aca="false">IF(listes!K138="","",listes!K138)</f>
        <v>MAT137</v>
      </c>
      <c r="B139" s="10" t="str">
        <f aca="false">IF(listes!L138="","",listes!L138)</f>
        <v>psychologie</v>
      </c>
      <c r="BA139" s="6" t="n">
        <v>1</v>
      </c>
      <c r="BD139" s="6" t="n">
        <v>1</v>
      </c>
      <c r="BW139" s="6" t="n">
        <v>1</v>
      </c>
      <c r="CI139" s="6" t="n">
        <v>1</v>
      </c>
      <c r="CJ139" s="6" t="n">
        <v>1</v>
      </c>
      <c r="CK139" s="6" t="n">
        <v>1</v>
      </c>
    </row>
    <row r="140" customFormat="false" ht="13.5" hidden="false" customHeight="true" outlineLevel="0" collapsed="false">
      <c r="A140" s="1" t="str">
        <f aca="false">IF(listes!K139="","",listes!K139)</f>
        <v>MAT138</v>
      </c>
      <c r="B140" s="10" t="str">
        <f aca="false">IF(listes!L139="","",listes!L139)</f>
        <v>biomécanique</v>
      </c>
      <c r="BB140" s="6" t="n">
        <v>1</v>
      </c>
      <c r="CK140" s="6" t="n">
        <v>1</v>
      </c>
    </row>
    <row r="141" customFormat="false" ht="13.5" hidden="false" customHeight="true" outlineLevel="0" collapsed="false">
      <c r="A141" s="1" t="str">
        <f aca="false">IF(listes!K140="","",listes!K140)</f>
        <v>MAT139</v>
      </c>
      <c r="B141" s="10" t="str">
        <f aca="false">IF(listes!L140="","",listes!L140)</f>
        <v>techniques de rééducation</v>
      </c>
      <c r="BB141" s="6" t="n">
        <v>1</v>
      </c>
    </row>
    <row r="142" customFormat="false" ht="13.5" hidden="false" customHeight="true" outlineLevel="0" collapsed="false">
      <c r="A142" s="1" t="str">
        <f aca="false">IF(listes!K141="","",listes!K141)</f>
        <v>MAT140</v>
      </c>
      <c r="B142" s="10" t="str">
        <f aca="false">IF(listes!L141="","",listes!L141)</f>
        <v>zootechnie</v>
      </c>
      <c r="BC142" s="6" t="n">
        <v>1</v>
      </c>
      <c r="BO142" s="6" t="n">
        <v>1</v>
      </c>
    </row>
    <row r="143" customFormat="false" ht="13.5" hidden="false" customHeight="true" outlineLevel="0" collapsed="false">
      <c r="A143" s="1" t="str">
        <f aca="false">IF(listes!K142="","",listes!K142)</f>
        <v>MAT141</v>
      </c>
      <c r="B143" s="10" t="str">
        <f aca="false">IF(listes!L142="","",listes!L142)</f>
        <v>pathologie animale</v>
      </c>
      <c r="BC143" s="6" t="n">
        <v>1</v>
      </c>
    </row>
    <row r="144" customFormat="false" ht="13.5" hidden="false" customHeight="true" outlineLevel="0" collapsed="false">
      <c r="A144" s="1" t="str">
        <f aca="false">IF(listes!K143="","",listes!K143)</f>
        <v>MAT142</v>
      </c>
      <c r="B144" s="10" t="str">
        <f aca="false">IF(listes!L143="","",listes!L143)</f>
        <v>politiques sociales</v>
      </c>
      <c r="BD144" s="6" t="n">
        <v>1</v>
      </c>
    </row>
    <row r="145" customFormat="false" ht="13.5" hidden="false" customHeight="true" outlineLevel="0" collapsed="false">
      <c r="A145" s="1" t="str">
        <f aca="false">IF(listes!K144="","",listes!K144)</f>
        <v>MAT143</v>
      </c>
      <c r="B145" s="10" t="str">
        <f aca="false">IF(listes!L144="","",listes!L144)</f>
        <v>méthodologie d'intervention sociale</v>
      </c>
      <c r="BD145" s="6" t="n">
        <v>1</v>
      </c>
    </row>
    <row r="146" customFormat="false" ht="13.5" hidden="false" customHeight="true" outlineLevel="0" collapsed="false">
      <c r="A146" s="1" t="str">
        <f aca="false">IF(listes!K145="","",listes!K145)</f>
        <v>MAT144</v>
      </c>
      <c r="B146" s="10" t="str">
        <f aca="false">IF(listes!L145="","",listes!L145)</f>
        <v>algèbre</v>
      </c>
      <c r="BE146" s="6" t="n">
        <v>1</v>
      </c>
    </row>
    <row r="147" customFormat="false" ht="13.5" hidden="false" customHeight="true" outlineLevel="0" collapsed="false">
      <c r="A147" s="1" t="str">
        <f aca="false">IF(listes!K146="","",listes!K146)</f>
        <v>MAT145</v>
      </c>
      <c r="B147" s="10" t="str">
        <f aca="false">IF(listes!L146="","",listes!L146)</f>
        <v>analyse</v>
      </c>
      <c r="BE147" s="6" t="n">
        <v>1</v>
      </c>
    </row>
    <row r="148" customFormat="false" ht="13.5" hidden="false" customHeight="true" outlineLevel="0" collapsed="false">
      <c r="A148" s="1" t="str">
        <f aca="false">IF(listes!K147="","",listes!K147)</f>
        <v>MAT146</v>
      </c>
      <c r="B148" s="10" t="str">
        <f aca="false">IF(listes!L147="","",listes!L147)</f>
        <v>géométrie</v>
      </c>
      <c r="BE148" s="6" t="n">
        <v>1</v>
      </c>
    </row>
    <row r="149" customFormat="false" ht="13.5" hidden="false" customHeight="true" outlineLevel="0" collapsed="false">
      <c r="A149" s="1" t="str">
        <f aca="false">IF(listes!K148="","",listes!K148)</f>
        <v>MAT147</v>
      </c>
      <c r="B149" s="10" t="str">
        <f aca="false">IF(listes!L148="","",listes!L148)</f>
        <v>probabilités</v>
      </c>
      <c r="BE149" s="6" t="n">
        <v>1</v>
      </c>
    </row>
    <row r="150" customFormat="false" ht="13.5" hidden="false" customHeight="true" outlineLevel="0" collapsed="false">
      <c r="A150" s="1" t="str">
        <f aca="false">IF(listes!K149="","",listes!K149)</f>
        <v>MAT148</v>
      </c>
      <c r="B150" s="10" t="str">
        <f aca="false">IF(listes!L149="","",listes!L149)</f>
        <v>algorithmique et programmation</v>
      </c>
      <c r="BE150" s="6" t="n">
        <v>1</v>
      </c>
      <c r="BF150" s="6" t="n">
        <v>1</v>
      </c>
      <c r="BK150" s="6" t="n">
        <v>1</v>
      </c>
      <c r="BN150" s="6" t="n">
        <v>1</v>
      </c>
    </row>
    <row r="151" customFormat="false" ht="13.5" hidden="false" customHeight="true" outlineLevel="0" collapsed="false">
      <c r="A151" s="1" t="str">
        <f aca="false">IF(listes!K150="","",listes!K150)</f>
        <v>MAT149</v>
      </c>
      <c r="B151" s="10" t="str">
        <f aca="false">IF(listes!L150="","",listes!L150)</f>
        <v>bases de données</v>
      </c>
      <c r="BF151" s="6" t="n">
        <v>1</v>
      </c>
    </row>
    <row r="152" customFormat="false" ht="13.5" hidden="false" customHeight="true" outlineLevel="0" collapsed="false">
      <c r="A152" s="1" t="str">
        <f aca="false">IF(listes!K151="","",listes!K151)</f>
        <v>MAT150</v>
      </c>
      <c r="B152" s="10" t="str">
        <f aca="false">IF(listes!L151="","",listes!L151)</f>
        <v>réseaux</v>
      </c>
      <c r="BF152" s="6" t="n">
        <v>1</v>
      </c>
      <c r="BK152" s="6" t="n">
        <v>1</v>
      </c>
    </row>
    <row r="153" customFormat="false" ht="13.5" hidden="false" customHeight="true" outlineLevel="0" collapsed="false">
      <c r="A153" s="1" t="str">
        <f aca="false">IF(listes!K152="","",listes!K152)</f>
        <v>MAT151</v>
      </c>
      <c r="B153" s="10" t="str">
        <f aca="false">IF(listes!L152="","",listes!L152)</f>
        <v>systèmes d'exploitation</v>
      </c>
      <c r="BF153" s="6" t="n">
        <v>1</v>
      </c>
    </row>
    <row r="154" customFormat="false" ht="13.5" hidden="false" customHeight="true" outlineLevel="0" collapsed="false">
      <c r="A154" s="1" t="str">
        <f aca="false">IF(listes!K153="","",listes!K153)</f>
        <v>MAT152</v>
      </c>
      <c r="B154" s="10" t="str">
        <f aca="false">IF(listes!L153="","",listes!L153)</f>
        <v>génie logiciel</v>
      </c>
      <c r="BF154" s="6" t="n">
        <v>1</v>
      </c>
    </row>
    <row r="155" customFormat="false" ht="13.5" hidden="false" customHeight="true" outlineLevel="0" collapsed="false">
      <c r="A155" s="1" t="str">
        <f aca="false">IF(listes!K154="","",listes!K154)</f>
        <v>MAT153</v>
      </c>
      <c r="B155" s="10" t="str">
        <f aca="false">IF(listes!L154="","",listes!L154)</f>
        <v>développement web</v>
      </c>
      <c r="BF155" s="6" t="n">
        <v>1</v>
      </c>
      <c r="CA155" s="6" t="n">
        <v>1</v>
      </c>
    </row>
    <row r="156" customFormat="false" ht="13.5" hidden="false" customHeight="true" outlineLevel="0" collapsed="false">
      <c r="A156" s="1" t="str">
        <f aca="false">IF(listes!K155="","",listes!K155)</f>
        <v>MAT154</v>
      </c>
      <c r="B156" s="10" t="str">
        <f aca="false">IF(listes!L155="","",listes!L155)</f>
        <v>cybersécurité</v>
      </c>
      <c r="BF156" s="6" t="n">
        <v>1</v>
      </c>
    </row>
    <row r="157" customFormat="false" ht="13.5" hidden="false" customHeight="true" outlineLevel="0" collapsed="false">
      <c r="A157" s="1" t="str">
        <f aca="false">IF(listes!K156="","",listes!K156)</f>
        <v>MAT155</v>
      </c>
      <c r="B157" s="10" t="str">
        <f aca="false">IF(listes!L156="","",listes!L156)</f>
        <v>intelligence artificielle</v>
      </c>
      <c r="BF157" s="6" t="n">
        <v>1</v>
      </c>
    </row>
    <row r="158" customFormat="false" ht="13.5" hidden="false" customHeight="true" outlineLevel="0" collapsed="false">
      <c r="A158" s="1" t="str">
        <f aca="false">IF(listes!K157="","",listes!K157)</f>
        <v>MAT156</v>
      </c>
      <c r="B158" s="10" t="str">
        <f aca="false">IF(listes!L157="","",listes!L157)</f>
        <v>mécanique</v>
      </c>
      <c r="BG158" s="6" t="n">
        <v>1</v>
      </c>
      <c r="BJ158" s="6" t="n">
        <v>1</v>
      </c>
      <c r="BN158" s="6" t="n">
        <v>1</v>
      </c>
    </row>
    <row r="159" customFormat="false" ht="13.5" hidden="false" customHeight="true" outlineLevel="0" collapsed="false">
      <c r="A159" s="1" t="str">
        <f aca="false">IF(listes!K158="","",listes!K158)</f>
        <v>MAT157</v>
      </c>
      <c r="B159" s="10" t="str">
        <f aca="false">IF(listes!L158="","",listes!L158)</f>
        <v>thermodynamique</v>
      </c>
      <c r="BG159" s="6" t="n">
        <v>1</v>
      </c>
      <c r="BJ159" s="6" t="n">
        <v>1</v>
      </c>
      <c r="BM159" s="6" t="n">
        <v>1</v>
      </c>
    </row>
    <row r="160" customFormat="false" ht="13.5" hidden="false" customHeight="true" outlineLevel="0" collapsed="false">
      <c r="A160" s="1" t="str">
        <f aca="false">IF(listes!K159="","",listes!K159)</f>
        <v>MAT158</v>
      </c>
      <c r="B160" s="10" t="str">
        <f aca="false">IF(listes!L159="","",listes!L159)</f>
        <v>électromagnétisme</v>
      </c>
      <c r="BG160" s="6" t="n">
        <v>1</v>
      </c>
    </row>
    <row r="161" customFormat="false" ht="13.5" hidden="false" customHeight="true" outlineLevel="0" collapsed="false">
      <c r="A161" s="1" t="str">
        <f aca="false">IF(listes!K160="","",listes!K160)</f>
        <v>MAT159</v>
      </c>
      <c r="B161" s="10" t="str">
        <f aca="false">IF(listes!L160="","",listes!L160)</f>
        <v>optique</v>
      </c>
      <c r="BG161" s="6" t="n">
        <v>1</v>
      </c>
    </row>
    <row r="162" customFormat="false" ht="13.5" hidden="false" customHeight="true" outlineLevel="0" collapsed="false">
      <c r="A162" s="1" t="str">
        <f aca="false">IF(listes!K161="","",listes!K161)</f>
        <v>MAT160</v>
      </c>
      <c r="B162" s="10" t="str">
        <f aca="false">IF(listes!L161="","",listes!L161)</f>
        <v>physique quantique</v>
      </c>
      <c r="BG162" s="6" t="n">
        <v>1</v>
      </c>
    </row>
    <row r="163" customFormat="false" ht="13.5" hidden="false" customHeight="true" outlineLevel="0" collapsed="false">
      <c r="A163" s="1" t="str">
        <f aca="false">IF(listes!K162="","",listes!K162)</f>
        <v>MAT161</v>
      </c>
      <c r="B163" s="10" t="str">
        <f aca="false">IF(listes!L162="","",listes!L162)</f>
        <v>chimie inorganique</v>
      </c>
      <c r="BG163" s="6" t="n">
        <v>1</v>
      </c>
      <c r="BM163" s="6" t="n">
        <v>1</v>
      </c>
    </row>
    <row r="164" customFormat="false" ht="13.5" hidden="false" customHeight="true" outlineLevel="0" collapsed="false">
      <c r="A164" s="1" t="str">
        <f aca="false">IF(listes!K163="","",listes!K163)</f>
        <v>MAT162</v>
      </c>
      <c r="B164" s="10" t="str">
        <f aca="false">IF(listes!L163="","",listes!L163)</f>
        <v>écologie</v>
      </c>
      <c r="BH164" s="6" t="n">
        <v>1</v>
      </c>
      <c r="BI164" s="6" t="n">
        <v>1</v>
      </c>
      <c r="BO164" s="6" t="n">
        <v>1</v>
      </c>
    </row>
    <row r="165" customFormat="false" ht="13.5" hidden="false" customHeight="true" outlineLevel="0" collapsed="false">
      <c r="A165" s="1" t="str">
        <f aca="false">IF(listes!K164="","",listes!K164)</f>
        <v>MAT163</v>
      </c>
      <c r="B165" s="10" t="str">
        <f aca="false">IF(listes!L164="","",listes!L164)</f>
        <v>climatologie</v>
      </c>
      <c r="BI165" s="6" t="n">
        <v>1</v>
      </c>
    </row>
    <row r="166" customFormat="false" ht="13.5" hidden="false" customHeight="true" outlineLevel="0" collapsed="false">
      <c r="A166" s="1" t="str">
        <f aca="false">IF(listes!K165="","",listes!K165)</f>
        <v>MAT164</v>
      </c>
      <c r="B166" s="10" t="str">
        <f aca="false">IF(listes!L165="","",listes!L165)</f>
        <v>cartographie et SIG</v>
      </c>
      <c r="BI166" s="6" t="n">
        <v>1</v>
      </c>
      <c r="CF166" s="6" t="n">
        <v>1</v>
      </c>
    </row>
    <row r="167" customFormat="false" ht="13.5" hidden="false" customHeight="true" outlineLevel="0" collapsed="false">
      <c r="A167" s="1" t="str">
        <f aca="false">IF(listes!K166="","",listes!K166)</f>
        <v>MAT165</v>
      </c>
      <c r="B167" s="10" t="str">
        <f aca="false">IF(listes!L166="","",listes!L166)</f>
        <v>résistance des matériaux</v>
      </c>
      <c r="BJ167" s="6" t="n">
        <v>1</v>
      </c>
      <c r="BL167" s="6" t="n">
        <v>1</v>
      </c>
    </row>
    <row r="168" customFormat="false" ht="13.5" hidden="false" customHeight="true" outlineLevel="0" collapsed="false">
      <c r="A168" s="1" t="str">
        <f aca="false">IF(listes!K167="","",listes!K167)</f>
        <v>MAT166</v>
      </c>
      <c r="B168" s="10" t="str">
        <f aca="false">IF(listes!L167="","",listes!L167)</f>
        <v>sciences des matériaux</v>
      </c>
      <c r="BJ168" s="6" t="n">
        <v>1</v>
      </c>
    </row>
    <row r="169" customFormat="false" ht="13.5" hidden="false" customHeight="true" outlineLevel="0" collapsed="false">
      <c r="A169" s="1" t="str">
        <f aca="false">IF(listes!K168="","",listes!K168)</f>
        <v>MAT167</v>
      </c>
      <c r="B169" s="10" t="str">
        <f aca="false">IF(listes!L168="","",listes!L168)</f>
        <v>conception et CAO</v>
      </c>
      <c r="BJ169" s="6" t="n">
        <v>1</v>
      </c>
      <c r="CL169" s="6" t="n">
        <v>1</v>
      </c>
    </row>
    <row r="170" customFormat="false" ht="13.5" hidden="false" customHeight="true" outlineLevel="0" collapsed="false">
      <c r="A170" s="1" t="str">
        <f aca="false">IF(listes!K169="","",listes!K169)</f>
        <v>MAT168</v>
      </c>
      <c r="B170" s="10" t="str">
        <f aca="false">IF(listes!L169="","",listes!L169)</f>
        <v>production et fabrication</v>
      </c>
      <c r="BJ170" s="6" t="n">
        <v>1</v>
      </c>
    </row>
    <row r="171" customFormat="false" ht="13.5" hidden="false" customHeight="true" outlineLevel="0" collapsed="false">
      <c r="A171" s="1" t="str">
        <f aca="false">IF(listes!K170="","",listes!K170)</f>
        <v>MAT169</v>
      </c>
      <c r="B171" s="10" t="str">
        <f aca="false">IF(listes!L170="","",listes!L170)</f>
        <v>électronique</v>
      </c>
      <c r="BK171" s="6" t="n">
        <v>1</v>
      </c>
      <c r="BN171" s="6" t="n">
        <v>1</v>
      </c>
    </row>
    <row r="172" customFormat="false" ht="13.5" hidden="false" customHeight="true" outlineLevel="0" collapsed="false">
      <c r="A172" s="1" t="str">
        <f aca="false">IF(listes!K171="","",listes!K171)</f>
        <v>MAT170</v>
      </c>
      <c r="B172" s="10" t="str">
        <f aca="false">IF(listes!L171="","",listes!L171)</f>
        <v>électrotechnique</v>
      </c>
      <c r="BK172" s="6" t="n">
        <v>1</v>
      </c>
    </row>
    <row r="173" customFormat="false" ht="13.5" hidden="false" customHeight="true" outlineLevel="0" collapsed="false">
      <c r="A173" s="1" t="str">
        <f aca="false">IF(listes!K172="","",listes!K172)</f>
        <v>MAT171</v>
      </c>
      <c r="B173" s="10" t="str">
        <f aca="false">IF(listes!L172="","",listes!L172)</f>
        <v>automatique</v>
      </c>
      <c r="BK173" s="6" t="n">
        <v>1</v>
      </c>
    </row>
    <row r="174" customFormat="false" ht="13.5" hidden="false" customHeight="true" outlineLevel="0" collapsed="false">
      <c r="A174" s="1" t="str">
        <f aca="false">IF(listes!K173="","",listes!K173)</f>
        <v>MAT172</v>
      </c>
      <c r="B174" s="10" t="str">
        <f aca="false">IF(listes!L173="","",listes!L173)</f>
        <v>géotechnique</v>
      </c>
      <c r="BL174" s="6" t="n">
        <v>1</v>
      </c>
    </row>
    <row r="175" customFormat="false" ht="13.5" hidden="false" customHeight="true" outlineLevel="0" collapsed="false">
      <c r="A175" s="1" t="str">
        <f aca="false">IF(listes!K174="","",listes!K174)</f>
        <v>MAT173</v>
      </c>
      <c r="B175" s="10" t="str">
        <f aca="false">IF(listes!L174="","",listes!L174)</f>
        <v>topographie</v>
      </c>
      <c r="BL175" s="6" t="n">
        <v>1</v>
      </c>
    </row>
    <row r="176" customFormat="false" ht="13.5" hidden="false" customHeight="true" outlineLevel="0" collapsed="false">
      <c r="A176" s="1" t="str">
        <f aca="false">IF(listes!K175="","",listes!K175)</f>
        <v>MAT174</v>
      </c>
      <c r="B176" s="10" t="str">
        <f aca="false">IF(listes!L175="","",listes!L175)</f>
        <v>économie de la construction</v>
      </c>
      <c r="BL176" s="6" t="n">
        <v>1</v>
      </c>
    </row>
    <row r="177" customFormat="false" ht="13.5" hidden="false" customHeight="true" outlineLevel="0" collapsed="false">
      <c r="A177" s="1" t="str">
        <f aca="false">IF(listes!K176="","",listes!K176)</f>
        <v>MAT175</v>
      </c>
      <c r="B177" s="10" t="str">
        <f aca="false">IF(listes!L176="","",listes!L176)</f>
        <v>génie des procédés</v>
      </c>
      <c r="BM177" s="6" t="n">
        <v>1</v>
      </c>
    </row>
    <row r="178" customFormat="false" ht="13.5" hidden="false" customHeight="true" outlineLevel="0" collapsed="false">
      <c r="A178" s="1" t="str">
        <f aca="false">IF(listes!K177="","",listes!K177)</f>
        <v>MAT176</v>
      </c>
      <c r="B178" s="10" t="str">
        <f aca="false">IF(listes!L177="","",listes!L177)</f>
        <v>gestion de projet</v>
      </c>
      <c r="BN178" s="6" t="n">
        <v>1</v>
      </c>
      <c r="BS178" s="6" t="n">
        <v>1</v>
      </c>
    </row>
    <row r="179" customFormat="false" ht="13.5" hidden="false" customHeight="true" outlineLevel="0" collapsed="false">
      <c r="A179" s="1" t="str">
        <f aca="false">IF(listes!K178="","",listes!K178)</f>
        <v>MAT177</v>
      </c>
      <c r="B179" s="10" t="str">
        <f aca="false">IF(listes!L178="","",listes!L178)</f>
        <v>sciences des aliments</v>
      </c>
      <c r="BO179" s="6" t="n">
        <v>1</v>
      </c>
    </row>
    <row r="180" customFormat="false" ht="13.5" hidden="false" customHeight="true" outlineLevel="0" collapsed="false">
      <c r="A180" s="1" t="str">
        <f aca="false">IF(listes!K179="","",listes!K179)</f>
        <v>MAT178</v>
      </c>
      <c r="B180" s="10" t="str">
        <f aca="false">IF(listes!L179="","",listes!L179)</f>
        <v>droit administratif</v>
      </c>
      <c r="BP180" s="6" t="n">
        <v>1</v>
      </c>
      <c r="CM180" s="6" t="n">
        <v>1</v>
      </c>
    </row>
    <row r="181" customFormat="false" ht="13.5" hidden="false" customHeight="true" outlineLevel="0" collapsed="false">
      <c r="A181" s="1" t="str">
        <f aca="false">IF(listes!K180="","",listes!K180)</f>
        <v>MAT179</v>
      </c>
      <c r="B181" s="10" t="str">
        <f aca="false">IF(listes!L180="","",listes!L180)</f>
        <v>droit pénal</v>
      </c>
      <c r="BP181" s="6" t="n">
        <v>1</v>
      </c>
    </row>
    <row r="182" customFormat="false" ht="13.5" hidden="false" customHeight="true" outlineLevel="0" collapsed="false">
      <c r="A182" s="1" t="str">
        <f aca="false">IF(listes!K181="","",listes!K181)</f>
        <v>MAT180</v>
      </c>
      <c r="B182" s="10" t="str">
        <f aca="false">IF(listes!L181="","",listes!L181)</f>
        <v>droit des affaires</v>
      </c>
      <c r="BP182" s="6" t="n">
        <v>1</v>
      </c>
      <c r="BS182" s="6" t="n">
        <v>1</v>
      </c>
      <c r="BT182" s="6" t="n">
        <v>1</v>
      </c>
      <c r="BY182" s="6" t="n">
        <v>1</v>
      </c>
    </row>
    <row r="183" customFormat="false" ht="13.5" hidden="false" customHeight="true" outlineLevel="0" collapsed="false">
      <c r="A183" s="1" t="str">
        <f aca="false">IF(listes!K182="","",listes!K182)</f>
        <v>MAT181</v>
      </c>
      <c r="B183" s="10" t="str">
        <f aca="false">IF(listes!L182="","",listes!L182)</f>
        <v>droit du travail</v>
      </c>
      <c r="BP183" s="6" t="n">
        <v>1</v>
      </c>
      <c r="BW183" s="6" t="n">
        <v>1</v>
      </c>
    </row>
    <row r="184" customFormat="false" ht="13.5" hidden="false" customHeight="true" outlineLevel="0" collapsed="false">
      <c r="A184" s="1" t="str">
        <f aca="false">IF(listes!K183="","",listes!K183)</f>
        <v>MAT182</v>
      </c>
      <c r="B184" s="10" t="str">
        <f aca="false">IF(listes!L183="","",listes!L183)</f>
        <v>droit international</v>
      </c>
      <c r="BP184" s="6" t="n">
        <v>1</v>
      </c>
    </row>
    <row r="185" customFormat="false" ht="13.5" hidden="false" customHeight="true" outlineLevel="0" collapsed="false">
      <c r="A185" s="1" t="str">
        <f aca="false">IF(listes!K184="","",listes!K184)</f>
        <v>MAT183</v>
      </c>
      <c r="B185" s="10" t="str">
        <f aca="false">IF(listes!L184="","",listes!L184)</f>
        <v>droit européen</v>
      </c>
      <c r="BP185" s="6" t="n">
        <v>1</v>
      </c>
    </row>
    <row r="186" customFormat="false" ht="13.5" hidden="false" customHeight="true" outlineLevel="0" collapsed="false">
      <c r="A186" s="1" t="str">
        <f aca="false">IF(listes!K185="","",listes!K185)</f>
        <v>MAT184</v>
      </c>
      <c r="B186" s="10" t="str">
        <f aca="false">IF(listes!L185="","",listes!L185)</f>
        <v>histoire du droit</v>
      </c>
      <c r="BP186" s="6" t="n">
        <v>1</v>
      </c>
    </row>
    <row r="187" customFormat="false" ht="13.5" hidden="false" customHeight="true" outlineLevel="0" collapsed="false">
      <c r="A187" s="1" t="str">
        <f aca="false">IF(listes!K186="","",listes!K186)</f>
        <v>MAT185</v>
      </c>
      <c r="B187" s="10" t="str">
        <f aca="false">IF(listes!L186="","",listes!L186)</f>
        <v>science politique</v>
      </c>
      <c r="BQ187" s="6" t="n">
        <v>1</v>
      </c>
      <c r="CB187" s="6" t="n">
        <v>1</v>
      </c>
    </row>
    <row r="188" customFormat="false" ht="13.5" hidden="false" customHeight="true" outlineLevel="0" collapsed="false">
      <c r="A188" s="1" t="str">
        <f aca="false">IF(listes!K187="","",listes!K187)</f>
        <v>MAT186</v>
      </c>
      <c r="B188" s="10" t="str">
        <f aca="false">IF(listes!L187="","",listes!L187)</f>
        <v>relations internationales</v>
      </c>
      <c r="BQ188" s="6" t="n">
        <v>1</v>
      </c>
    </row>
    <row r="189" customFormat="false" ht="13.5" hidden="false" customHeight="true" outlineLevel="0" collapsed="false">
      <c r="A189" s="1" t="str">
        <f aca="false">IF(listes!K188="","",listes!K188)</f>
        <v>MAT187</v>
      </c>
      <c r="B189" s="10" t="str">
        <f aca="false">IF(listes!L188="","",listes!L188)</f>
        <v>économétrie</v>
      </c>
      <c r="BR189" s="6" t="n">
        <v>1</v>
      </c>
    </row>
    <row r="190" customFormat="false" ht="13.5" hidden="false" customHeight="true" outlineLevel="0" collapsed="false">
      <c r="A190" s="1" t="str">
        <f aca="false">IF(listes!K189="","",listes!K189)</f>
        <v>MAT188</v>
      </c>
      <c r="B190" s="10" t="str">
        <f aca="false">IF(listes!L189="","",listes!L189)</f>
        <v>histoire économique</v>
      </c>
      <c r="BR190" s="6" t="n">
        <v>1</v>
      </c>
    </row>
    <row r="191" customFormat="false" ht="13.5" hidden="false" customHeight="true" outlineLevel="0" collapsed="false">
      <c r="A191" s="1" t="str">
        <f aca="false">IF(listes!K190="","",listes!K190)</f>
        <v>MAT189</v>
      </c>
      <c r="B191" s="10" t="str">
        <f aca="false">IF(listes!L190="","",listes!L190)</f>
        <v>culture générale et expression</v>
      </c>
      <c r="BS191" s="6" t="n">
        <v>1</v>
      </c>
      <c r="BT191" s="6" t="n">
        <v>1</v>
      </c>
      <c r="BU191" s="6" t="n">
        <v>1</v>
      </c>
      <c r="BV191" s="6" t="n">
        <v>1</v>
      </c>
      <c r="BX191" s="6" t="n">
        <v>1</v>
      </c>
      <c r="BY191" s="6" t="n">
        <v>1</v>
      </c>
      <c r="BZ191" s="6" t="n">
        <v>1</v>
      </c>
    </row>
    <row r="192" customFormat="false" ht="13.5" hidden="false" customHeight="true" outlineLevel="0" collapsed="false">
      <c r="A192" s="1" t="str">
        <f aca="false">IF(listes!K191="","",listes!K191)</f>
        <v>MAT190</v>
      </c>
      <c r="B192" s="10" t="str">
        <f aca="false">IF(listes!L191="","",listes!L191)</f>
        <v>CEJM (culture éco., juridique et managériale)</v>
      </c>
      <c r="BS192" s="6" t="n">
        <v>1</v>
      </c>
      <c r="BT192" s="6" t="n">
        <v>1</v>
      </c>
      <c r="BU192" s="6" t="n">
        <v>1</v>
      </c>
      <c r="BV192" s="6" t="n">
        <v>1</v>
      </c>
      <c r="BX192" s="6" t="n">
        <v>1</v>
      </c>
      <c r="BY192" s="6" t="n">
        <v>1</v>
      </c>
      <c r="BZ192" s="6" t="n">
        <v>1</v>
      </c>
    </row>
    <row r="193" customFormat="false" ht="13.5" hidden="false" customHeight="true" outlineLevel="0" collapsed="false">
      <c r="A193" s="1" t="str">
        <f aca="false">IF(listes!K192="","",listes!K192)</f>
        <v>MAT191</v>
      </c>
      <c r="B193" s="10" t="str">
        <f aca="false">IF(listes!L192="","",listes!L192)</f>
        <v>comptabilité</v>
      </c>
      <c r="BS193" s="6" t="n">
        <v>1</v>
      </c>
      <c r="BT193" s="6" t="n">
        <v>1</v>
      </c>
    </row>
    <row r="194" customFormat="false" ht="13.5" hidden="false" customHeight="true" outlineLevel="0" collapsed="false">
      <c r="A194" s="1" t="str">
        <f aca="false">IF(listes!K193="","",listes!K193)</f>
        <v>MAT192</v>
      </c>
      <c r="B194" s="10" t="str">
        <f aca="false">IF(listes!L193="","",listes!L193)</f>
        <v>marketing</v>
      </c>
      <c r="BS194" s="6" t="n">
        <v>1</v>
      </c>
      <c r="BU194" s="6" t="n">
        <v>1</v>
      </c>
      <c r="BV194" s="6" t="n">
        <v>1</v>
      </c>
      <c r="BZ194" s="6" t="n">
        <v>1</v>
      </c>
      <c r="CA194" s="6" t="n">
        <v>1</v>
      </c>
    </row>
    <row r="195" customFormat="false" ht="13.5" hidden="false" customHeight="true" outlineLevel="0" collapsed="false">
      <c r="A195" s="1" t="str">
        <f aca="false">IF(listes!K194="","",listes!K194)</f>
        <v>MAT193</v>
      </c>
      <c r="B195" s="10" t="str">
        <f aca="false">IF(listes!L194="","",listes!L194)</f>
        <v>contrôle de gestion</v>
      </c>
      <c r="BT195" s="6" t="n">
        <v>1</v>
      </c>
    </row>
    <row r="196" customFormat="false" ht="13.5" hidden="false" customHeight="true" outlineLevel="0" collapsed="false">
      <c r="A196" s="1" t="str">
        <f aca="false">IF(listes!K195="","",listes!K195)</f>
        <v>MAT194</v>
      </c>
      <c r="B196" s="10" t="str">
        <f aca="false">IF(listes!L195="","",listes!L195)</f>
        <v>finance</v>
      </c>
      <c r="BT196" s="6" t="n">
        <v>1</v>
      </c>
      <c r="BY196" s="6" t="n">
        <v>1</v>
      </c>
    </row>
    <row r="197" customFormat="false" ht="13.5" hidden="false" customHeight="true" outlineLevel="0" collapsed="false">
      <c r="A197" s="1" t="str">
        <f aca="false">IF(listes!K196="","",listes!K196)</f>
        <v>MAT195</v>
      </c>
      <c r="B197" s="10" t="str">
        <f aca="false">IF(listes!L196="","",listes!L196)</f>
        <v>fiscalité</v>
      </c>
      <c r="BT197" s="6" t="n">
        <v>1</v>
      </c>
    </row>
    <row r="198" customFormat="false" ht="13.5" hidden="false" customHeight="true" outlineLevel="0" collapsed="false">
      <c r="A198" s="1" t="str">
        <f aca="false">IF(listes!K197="","",listes!K197)</f>
        <v>MAT196</v>
      </c>
      <c r="B198" s="10" t="str">
        <f aca="false">IF(listes!L197="","",listes!L197)</f>
        <v>audit</v>
      </c>
      <c r="BT198" s="6" t="n">
        <v>1</v>
      </c>
    </row>
    <row r="199" customFormat="false" ht="13.5" hidden="false" customHeight="true" outlineLevel="0" collapsed="false">
      <c r="A199" s="1" t="str">
        <f aca="false">IF(listes!K198="","",listes!K198)</f>
        <v>MAT197</v>
      </c>
      <c r="B199" s="10" t="str">
        <f aca="false">IF(listes!L198="","",listes!L198)</f>
        <v>négociation et relation client</v>
      </c>
      <c r="BU199" s="6" t="n">
        <v>1</v>
      </c>
      <c r="BY199" s="6" t="n">
        <v>1</v>
      </c>
    </row>
    <row r="200" customFormat="false" ht="13.5" hidden="false" customHeight="true" outlineLevel="0" collapsed="false">
      <c r="A200" s="1" t="str">
        <f aca="false">IF(listes!K199="","",listes!K199)</f>
        <v>MAT198</v>
      </c>
      <c r="B200" s="10" t="str">
        <f aca="false">IF(listes!L199="","",listes!L199)</f>
        <v>communication</v>
      </c>
      <c r="BU200" s="6" t="n">
        <v>1</v>
      </c>
      <c r="CA200" s="6" t="n">
        <v>1</v>
      </c>
    </row>
    <row r="201" customFormat="false" ht="13.5" hidden="false" customHeight="true" outlineLevel="0" collapsed="false">
      <c r="A201" s="1" t="str">
        <f aca="false">IF(listes!K200="","",listes!K200)</f>
        <v>MAT199</v>
      </c>
      <c r="B201" s="10" t="str">
        <f aca="false">IF(listes!L200="","",listes!L200)</f>
        <v>commerce international</v>
      </c>
      <c r="BV201" s="6" t="n">
        <v>1</v>
      </c>
      <c r="BX201" s="6" t="n">
        <v>1</v>
      </c>
      <c r="CD201" s="6" t="n">
        <v>1</v>
      </c>
    </row>
    <row r="202" customFormat="false" ht="13.5" hidden="false" customHeight="true" outlineLevel="0" collapsed="false">
      <c r="A202" s="1" t="str">
        <f aca="false">IF(listes!K201="","",listes!K201)</f>
        <v>MAT200</v>
      </c>
      <c r="B202" s="10" t="str">
        <f aca="false">IF(listes!L201="","",listes!L201)</f>
        <v>logistique</v>
      </c>
      <c r="BV202" s="6" t="n">
        <v>1</v>
      </c>
      <c r="BX202" s="6" t="n">
        <v>1</v>
      </c>
    </row>
    <row r="203" customFormat="false" ht="13.5" hidden="false" customHeight="true" outlineLevel="0" collapsed="false">
      <c r="A203" s="1" t="str">
        <f aca="false">IF(listes!K202="","",listes!K202)</f>
        <v>MAT201</v>
      </c>
      <c r="B203" s="10" t="str">
        <f aca="false">IF(listes!L202="","",listes!L202)</f>
        <v>gestion des ressources humaines</v>
      </c>
      <c r="BW203" s="6" t="n">
        <v>1</v>
      </c>
    </row>
    <row r="204" customFormat="false" ht="13.5" hidden="false" customHeight="true" outlineLevel="0" collapsed="false">
      <c r="A204" s="1" t="str">
        <f aca="false">IF(listes!K203="","",listes!K203)</f>
        <v>MAT202</v>
      </c>
      <c r="B204" s="10" t="str">
        <f aca="false">IF(listes!L203="","",listes!L203)</f>
        <v>tourisme</v>
      </c>
      <c r="BZ204" s="6" t="n">
        <v>1</v>
      </c>
    </row>
    <row r="205" customFormat="false" ht="13.5" hidden="false" customHeight="true" outlineLevel="0" collapsed="false">
      <c r="A205" s="1" t="str">
        <f aca="false">IF(listes!K204="","",listes!K204)</f>
        <v>MAT203</v>
      </c>
      <c r="B205" s="10" t="str">
        <f aca="false">IF(listes!L204="","",listes!L204)</f>
        <v>techniques journalistiques</v>
      </c>
      <c r="CB205" s="6" t="n">
        <v>1</v>
      </c>
    </row>
    <row r="206" customFormat="false" ht="13.5" hidden="false" customHeight="true" outlineLevel="0" collapsed="false">
      <c r="A206" s="1" t="str">
        <f aca="false">IF(listes!K205="","",listes!K205)</f>
        <v>MAT204</v>
      </c>
      <c r="B206" s="10" t="str">
        <f aca="false">IF(listes!L205="","",listes!L205)</f>
        <v>littérature étrangère</v>
      </c>
      <c r="CC206" s="6" t="n">
        <v>1</v>
      </c>
    </row>
    <row r="207" customFormat="false" ht="13.5" hidden="false" customHeight="true" outlineLevel="0" collapsed="false">
      <c r="A207" s="1" t="str">
        <f aca="false">IF(listes!K206="","",listes!K206)</f>
        <v>MAT205</v>
      </c>
      <c r="B207" s="10" t="str">
        <f aca="false">IF(listes!L206="","",listes!L206)</f>
        <v>civilisation</v>
      </c>
      <c r="CC207" s="6" t="n">
        <v>1</v>
      </c>
      <c r="CD207" s="6" t="n">
        <v>1</v>
      </c>
    </row>
    <row r="208" customFormat="false" ht="13.5" hidden="false" customHeight="true" outlineLevel="0" collapsed="false">
      <c r="A208" s="1" t="str">
        <f aca="false">IF(listes!K207="","",listes!K207)</f>
        <v>MAT206</v>
      </c>
      <c r="B208" s="10" t="str">
        <f aca="false">IF(listes!L207="","",listes!L207)</f>
        <v>traduction</v>
      </c>
      <c r="CC208" s="6" t="n">
        <v>1</v>
      </c>
      <c r="CD208" s="6" t="n">
        <v>1</v>
      </c>
    </row>
    <row r="209" customFormat="false" ht="13.5" hidden="false" customHeight="true" outlineLevel="0" collapsed="false">
      <c r="A209" s="1" t="str">
        <f aca="false">IF(listes!K208="","",listes!K208)</f>
        <v>MAT207</v>
      </c>
      <c r="B209" s="10" t="str">
        <f aca="false">IF(listes!L208="","",listes!L208)</f>
        <v>histoire ancienne</v>
      </c>
      <c r="CE209" s="6" t="n">
        <v>1</v>
      </c>
    </row>
    <row r="210" customFormat="false" ht="13.5" hidden="false" customHeight="true" outlineLevel="0" collapsed="false">
      <c r="A210" s="1" t="str">
        <f aca="false">IF(listes!K209="","",listes!K209)</f>
        <v>MAT208</v>
      </c>
      <c r="B210" s="10" t="str">
        <f aca="false">IF(listes!L209="","",listes!L209)</f>
        <v>histoire médiévale</v>
      </c>
      <c r="CE210" s="6" t="n">
        <v>1</v>
      </c>
    </row>
    <row r="211" customFormat="false" ht="13.5" hidden="false" customHeight="true" outlineLevel="0" collapsed="false">
      <c r="A211" s="1" t="str">
        <f aca="false">IF(listes!K210="","",listes!K210)</f>
        <v>MAT209</v>
      </c>
      <c r="B211" s="10" t="str">
        <f aca="false">IF(listes!L210="","",listes!L210)</f>
        <v>histoire moderne</v>
      </c>
      <c r="CE211" s="6" t="n">
        <v>1</v>
      </c>
    </row>
    <row r="212" customFormat="false" ht="13.5" hidden="false" customHeight="true" outlineLevel="0" collapsed="false">
      <c r="A212" s="1" t="str">
        <f aca="false">IF(listes!K211="","",listes!K211)</f>
        <v>MAT210</v>
      </c>
      <c r="B212" s="10" t="str">
        <f aca="false">IF(listes!L211="","",listes!L211)</f>
        <v>histoire contemporaine</v>
      </c>
      <c r="CE212" s="6" t="n">
        <v>1</v>
      </c>
    </row>
    <row r="213" customFormat="false" ht="13.5" hidden="false" customHeight="true" outlineLevel="0" collapsed="false">
      <c r="A213" s="1" t="str">
        <f aca="false">IF(listes!K212="","",listes!K212)</f>
        <v>MAT211</v>
      </c>
      <c r="B213" s="10" t="str">
        <f aca="false">IF(listes!L212="","",listes!L212)</f>
        <v>aménagement du territoire</v>
      </c>
      <c r="CF213" s="6" t="n">
        <v>1</v>
      </c>
    </row>
    <row r="214" customFormat="false" ht="13.5" hidden="false" customHeight="true" outlineLevel="0" collapsed="false">
      <c r="A214" s="1" t="str">
        <f aca="false">IF(listes!K213="","",listes!K213)</f>
        <v>MAT212</v>
      </c>
      <c r="B214" s="10" t="str">
        <f aca="false">IF(listes!L213="","",listes!L213)</f>
        <v>histoire de la philosophie</v>
      </c>
      <c r="CG214" s="6" t="n">
        <v>1</v>
      </c>
    </row>
    <row r="215" customFormat="false" ht="13.5" hidden="false" customHeight="true" outlineLevel="0" collapsed="false">
      <c r="A215" s="1" t="str">
        <f aca="false">IF(listes!K214="","",listes!K214)</f>
        <v>MAT213</v>
      </c>
      <c r="B215" s="10" t="str">
        <f aca="false">IF(listes!L214="","",listes!L214)</f>
        <v>logique</v>
      </c>
      <c r="CG215" s="6" t="n">
        <v>1</v>
      </c>
    </row>
    <row r="216" customFormat="false" ht="13.5" hidden="false" customHeight="true" outlineLevel="0" collapsed="false">
      <c r="A216" s="1" t="str">
        <f aca="false">IF(listes!K215="","",listes!K215)</f>
        <v>MAT214</v>
      </c>
      <c r="B216" s="10" t="str">
        <f aca="false">IF(listes!L215="","",listes!L215)</f>
        <v>anthropologie</v>
      </c>
      <c r="CH216" s="6" t="n">
        <v>1</v>
      </c>
    </row>
    <row r="217" customFormat="false" ht="13.5" hidden="false" customHeight="true" outlineLevel="0" collapsed="false">
      <c r="A217" s="1" t="str">
        <f aca="false">IF(listes!K216="","",listes!K216)</f>
        <v>MAT215</v>
      </c>
      <c r="B217" s="10" t="str">
        <f aca="false">IF(listes!L216="","",listes!L216)</f>
        <v>méthodes d'enquête</v>
      </c>
      <c r="CH217" s="6" t="n">
        <v>1</v>
      </c>
    </row>
    <row r="218" customFormat="false" ht="13.5" hidden="false" customHeight="true" outlineLevel="0" collapsed="false">
      <c r="A218" s="1" t="str">
        <f aca="false">IF(listes!K217="","",listes!K217)</f>
        <v>MAT216</v>
      </c>
      <c r="B218" s="10" t="str">
        <f aca="false">IF(listes!L217="","",listes!L217)</f>
        <v>psychologie cognitive</v>
      </c>
      <c r="CI218" s="6" t="n">
        <v>1</v>
      </c>
    </row>
    <row r="219" customFormat="false" ht="13.5" hidden="false" customHeight="true" outlineLevel="0" collapsed="false">
      <c r="A219" s="1" t="str">
        <f aca="false">IF(listes!K218="","",listes!K218)</f>
        <v>MAT217</v>
      </c>
      <c r="B219" s="10" t="str">
        <f aca="false">IF(listes!L218="","",listes!L218)</f>
        <v>psychologie du développement</v>
      </c>
      <c r="CI219" s="6" t="n">
        <v>1</v>
      </c>
    </row>
    <row r="220" customFormat="false" ht="13.5" hidden="false" customHeight="true" outlineLevel="0" collapsed="false">
      <c r="A220" s="1" t="str">
        <f aca="false">IF(listes!K219="","",listes!K219)</f>
        <v>MAT218</v>
      </c>
      <c r="B220" s="10" t="str">
        <f aca="false">IF(listes!L219="","",listes!L219)</f>
        <v>psychologie sociale</v>
      </c>
      <c r="CI220" s="6" t="n">
        <v>1</v>
      </c>
    </row>
    <row r="221" customFormat="false" ht="13.5" hidden="false" customHeight="true" outlineLevel="0" collapsed="false">
      <c r="A221" s="1" t="str">
        <f aca="false">IF(listes!K220="","",listes!K220)</f>
        <v>MAT219</v>
      </c>
      <c r="B221" s="10" t="str">
        <f aca="false">IF(listes!L220="","",listes!L220)</f>
        <v>psychopathologie</v>
      </c>
      <c r="CI221" s="6" t="n">
        <v>1</v>
      </c>
    </row>
    <row r="222" customFormat="false" ht="13.5" hidden="false" customHeight="true" outlineLevel="0" collapsed="false">
      <c r="A222" s="1" t="str">
        <f aca="false">IF(listes!K221="","",listes!K221)</f>
        <v>MAT220</v>
      </c>
      <c r="B222" s="10" t="str">
        <f aca="false">IF(listes!L221="","",listes!L221)</f>
        <v>neurosciences</v>
      </c>
      <c r="CI222" s="6" t="n">
        <v>1</v>
      </c>
    </row>
    <row r="223" customFormat="false" ht="13.5" hidden="false" customHeight="true" outlineLevel="0" collapsed="false">
      <c r="A223" s="1" t="str">
        <f aca="false">IF(listes!K222="","",listes!K222)</f>
        <v>MAT221</v>
      </c>
      <c r="B223" s="10" t="str">
        <f aca="false">IF(listes!L222="","",listes!L222)</f>
        <v>sciences de l'éducation</v>
      </c>
      <c r="CJ223" s="6" t="n">
        <v>1</v>
      </c>
    </row>
    <row r="224" customFormat="false" ht="13.5" hidden="false" customHeight="true" outlineLevel="0" collapsed="false">
      <c r="A224" s="1" t="str">
        <f aca="false">IF(listes!K223="","",listes!K223)</f>
        <v>MAT222</v>
      </c>
      <c r="B224" s="10" t="str">
        <f aca="false">IF(listes!L223="","",listes!L223)</f>
        <v>didactique</v>
      </c>
      <c r="CJ224" s="6" t="n">
        <v>1</v>
      </c>
    </row>
    <row r="225" customFormat="false" ht="13.5" hidden="false" customHeight="true" outlineLevel="0" collapsed="false">
      <c r="A225" s="1" t="str">
        <f aca="false">IF(listes!K224="","",listes!K224)</f>
        <v>MAT223</v>
      </c>
      <c r="B225" s="10" t="str">
        <f aca="false">IF(listes!L224="","",listes!L224)</f>
        <v>entraînement sportif</v>
      </c>
      <c r="CK225" s="6" t="n">
        <v>1</v>
      </c>
    </row>
    <row r="226" customFormat="false" ht="13.5" hidden="false" customHeight="true" outlineLevel="0" collapsed="false">
      <c r="A226" s="1" t="str">
        <f aca="false">IF(listes!K225="","",listes!K225)</f>
        <v>MAT224</v>
      </c>
      <c r="B226" s="10" t="str">
        <f aca="false">IF(listes!L225="","",listes!L225)</f>
        <v>culture générale</v>
      </c>
      <c r="CM226" s="6" t="n">
        <v>1</v>
      </c>
    </row>
    <row r="227" customFormat="false" ht="13.5" hidden="false" customHeight="true" outlineLevel="0" collapsed="false">
      <c r="A227" s="1" t="str">
        <f aca="false">IF(listes!K226="","",listes!K226)</f>
        <v>MAT225</v>
      </c>
      <c r="B227" s="10" t="str">
        <f aca="false">IF(listes!L226="","",listes!L226)</f>
        <v>note de synthèse</v>
      </c>
      <c r="CM227" s="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10.6640625" defaultRowHeight="13.5" zeroHeight="false" outlineLevelRow="0" outlineLevelCol="0"/>
  <cols>
    <col collapsed="false" customWidth="false" hidden="false" outlineLevel="0" max="1" min="1" style="6" width="10.66"/>
    <col collapsed="false" customWidth="true" hidden="false" outlineLevel="0" max="2" min="2" style="9" width="17.08"/>
    <col collapsed="false" customWidth="true" hidden="false" outlineLevel="0" max="13" min="3" style="6" width="7.33"/>
    <col collapsed="false" customWidth="true" hidden="false" outlineLevel="0" max="14" min="14" style="6" width="8"/>
    <col collapsed="false" customWidth="true" hidden="false" outlineLevel="0" max="18" min="15" style="6" width="7.33"/>
    <col collapsed="false" customWidth="true" hidden="false" outlineLevel="0" max="19" min="19" style="6" width="15"/>
    <col collapsed="false" customWidth="true" hidden="false" outlineLevel="0" max="20" min="20" style="6" width="16.66"/>
    <col collapsed="false" customWidth="true" hidden="false" outlineLevel="0" max="21" min="21" style="6" width="7.33"/>
    <col collapsed="false" customWidth="false" hidden="false" outlineLevel="0" max="22" min="22" style="6" width="10.66"/>
    <col collapsed="false" customWidth="true" hidden="false" outlineLevel="0" max="23" min="23" style="6" width="16.17"/>
    <col collapsed="false" customWidth="false" hidden="false" outlineLevel="0" max="16384" min="24" style="6" width="10.66"/>
  </cols>
  <sheetData>
    <row r="1" customFormat="false" ht="13.5" hidden="false" customHeight="true" outlineLevel="0" collapsed="false">
      <c r="A1" s="7"/>
      <c r="B1" s="8"/>
      <c r="C1" s="6" t="str">
        <f aca="false" t="array" ref="C1:AR2">TRANSPOSE(listes!E2:F43)</f>
        <v>NIV001</v>
      </c>
      <c r="D1" s="6" t="str">
        <v>NIV002</v>
      </c>
      <c r="E1" s="6" t="str">
        <v>NIV003</v>
      </c>
      <c r="F1" s="6" t="str">
        <v>NIV004</v>
      </c>
      <c r="G1" s="6" t="str">
        <v>NIV005</v>
      </c>
      <c r="H1" s="6" t="str">
        <v>NIV006</v>
      </c>
      <c r="I1" s="6" t="str">
        <v>NIV007</v>
      </c>
      <c r="J1" s="6" t="str">
        <v>NIV008</v>
      </c>
      <c r="K1" s="6" t="str">
        <v>NIV009</v>
      </c>
      <c r="L1" s="6" t="str">
        <v>NIV010</v>
      </c>
      <c r="M1" s="6" t="str">
        <v>NIV011</v>
      </c>
      <c r="N1" s="6" t="str">
        <v>NIV012</v>
      </c>
      <c r="O1" s="6" t="str">
        <v>NIV013</v>
      </c>
      <c r="P1" s="6" t="str">
        <v>NIV014</v>
      </c>
      <c r="Q1" s="6" t="str">
        <v>NIV015</v>
      </c>
      <c r="R1" s="6" t="str">
        <v>NIV016</v>
      </c>
      <c r="S1" s="6" t="str">
        <v>NIV017</v>
      </c>
      <c r="T1" s="6" t="str">
        <v>NIV018</v>
      </c>
      <c r="U1" s="6" t="str">
        <v>NIV019</v>
      </c>
      <c r="V1" s="6" t="str">
        <v>NIV020</v>
      </c>
      <c r="W1" s="6" t="str">
        <v>NIV021</v>
      </c>
      <c r="X1" s="6" t="str">
        <v>NIV022</v>
      </c>
      <c r="Y1" s="6" t="str">
        <v>NIV023</v>
      </c>
      <c r="Z1" s="6" t="str">
        <v>NIV024</v>
      </c>
      <c r="AA1" s="6" t="str">
        <v>NIV025</v>
      </c>
      <c r="AB1" s="6" t="str">
        <v>NIV026</v>
      </c>
      <c r="AC1" s="6" t="str">
        <v>NIV027</v>
      </c>
      <c r="AD1" s="6" t="str">
        <v>NIV028</v>
      </c>
      <c r="AE1" s="6" t="str">
        <v>NIV029</v>
      </c>
      <c r="AF1" s="6" t="str">
        <v>NIV030</v>
      </c>
      <c r="AG1" s="6" t="str">
        <v>NIV031</v>
      </c>
      <c r="AH1" s="6" t="str">
        <v>NIV032</v>
      </c>
      <c r="AI1" s="6" t="str">
        <v>NIV033</v>
      </c>
      <c r="AJ1" s="6" t="str">
        <v>NIV034</v>
      </c>
      <c r="AK1" s="6" t="str">
        <v>NIV035</v>
      </c>
      <c r="AL1" s="6" t="str">
        <v>NIV036</v>
      </c>
      <c r="AM1" s="6" t="n">
        <v>0</v>
      </c>
      <c r="AN1" s="6" t="n">
        <v>0</v>
      </c>
      <c r="AO1" s="6" t="n">
        <v>0</v>
      </c>
      <c r="AP1" s="6" t="n">
        <v>0</v>
      </c>
      <c r="AQ1" s="6" t="n">
        <v>0</v>
      </c>
      <c r="AR1" s="6" t="n">
        <v>0</v>
      </c>
    </row>
    <row r="2" customFormat="false" ht="13.5" hidden="false" customHeight="true" outlineLevel="0" collapsed="false">
      <c r="A2" s="3" t="str">
        <f aca="false">IF(listes!K1="","",listes!K1)</f>
        <v>id</v>
      </c>
      <c r="B2" s="8" t="str">
        <f aca="false">IF(listes!L1="","",listes!L1)</f>
        <v>matières</v>
      </c>
      <c r="C2" s="6" t="str">
        <v>CP</v>
      </c>
      <c r="D2" s="6" t="str">
        <v>CE1</v>
      </c>
      <c r="E2" s="6" t="str">
        <v>CE2</v>
      </c>
      <c r="F2" s="6" t="str">
        <v>CM1</v>
      </c>
      <c r="G2" s="6" t="str">
        <v>CM2</v>
      </c>
      <c r="H2" s="6" t="str">
        <v>6ème</v>
      </c>
      <c r="I2" s="6" t="str">
        <v>5ème</v>
      </c>
      <c r="J2" s="6" t="str">
        <v>4ème</v>
      </c>
      <c r="K2" s="6" t="str">
        <v>3ème</v>
      </c>
      <c r="L2" s="6" t="str">
        <v>2nde</v>
      </c>
      <c r="M2" s="6" t="str">
        <v>1ère</v>
      </c>
      <c r="N2" s="6" t="str">
        <v>terminale</v>
      </c>
      <c r="O2" s="6" t="str">
        <v>BTS</v>
      </c>
      <c r="P2" s="6" t="str">
        <v>BTSA</v>
      </c>
      <c r="Q2" s="6" t="str">
        <v>BUT</v>
      </c>
      <c r="R2" s="6" t="str">
        <v>CPGE</v>
      </c>
      <c r="S2" s="6" t="str">
        <v>école d'ingénieurs</v>
      </c>
      <c r="T2" s="6" t="str">
        <v>école de commerce</v>
      </c>
      <c r="U2" s="6" t="str">
        <v>licence</v>
      </c>
      <c r="V2" s="6" t="str">
        <v>master</v>
      </c>
      <c r="W2" s="6" t="str">
        <v>DE (diplôme d'état)</v>
      </c>
      <c r="X2" s="6" t="str">
        <v>DN MADE</v>
      </c>
      <c r="Y2" s="6" t="str">
        <v>DNA</v>
      </c>
      <c r="Z2" s="6" t="str">
        <v>non diplomant</v>
      </c>
      <c r="AA2" s="6" t="str">
        <v>DNSP</v>
      </c>
      <c r="AB2" s="6" t="str">
        <v>doctorat</v>
      </c>
      <c r="AC2" s="6" t="str">
        <v>licence professionnelle</v>
      </c>
      <c r="AD2" s="6" t="str">
        <v>DEUST</v>
      </c>
      <c r="AE2" s="6" t="str">
        <v>Diplôme d'école</v>
      </c>
      <c r="AF2" s="6" t="str">
        <v>DSAA</v>
      </c>
      <c r="AG2" s="6" t="str">
        <v>DCG</v>
      </c>
      <c r="AH2" s="6" t="str">
        <v>bachelor agro</v>
      </c>
      <c r="AI2" s="6" t="str">
        <v>bachelor</v>
      </c>
      <c r="AJ2" s="6" t="str">
        <v>CAP</v>
      </c>
      <c r="AK2" s="6" t="str">
        <v>PASS</v>
      </c>
      <c r="AL2" s="6" t="str">
        <v>DSCG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</row>
    <row r="3" customFormat="false" ht="13.5" hidden="false" customHeight="true" outlineLevel="0" collapsed="false">
      <c r="A3" s="1" t="str">
        <f aca="false">IF(listes!K2="","",listes!K2)</f>
        <v>MAT001</v>
      </c>
      <c r="B3" s="10" t="str">
        <f aca="false">IF(listes!L2="","",listes!L2)</f>
        <v>français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</row>
    <row r="4" customFormat="false" ht="13.5" hidden="false" customHeight="true" outlineLevel="0" collapsed="false">
      <c r="A4" s="1" t="str">
        <f aca="false">IF(listes!K3="","",listes!K3)</f>
        <v>MAT002</v>
      </c>
      <c r="B4" s="10" t="str">
        <f aca="false">IF(listes!L3="","",listes!L3)</f>
        <v>mathématiques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</row>
    <row r="5" customFormat="false" ht="13.5" hidden="false" customHeight="true" outlineLevel="0" collapsed="false">
      <c r="A5" s="1" t="str">
        <f aca="false">IF(listes!K4="","",listes!K4)</f>
        <v>MAT003</v>
      </c>
      <c r="B5" s="10" t="str">
        <f aca="false">IF(listes!L4="","",listes!L4)</f>
        <v>questionner le monde</v>
      </c>
      <c r="C5" s="6" t="n">
        <v>1</v>
      </c>
      <c r="D5" s="6" t="n">
        <v>1</v>
      </c>
      <c r="E5" s="6" t="n">
        <v>1</v>
      </c>
    </row>
    <row r="6" customFormat="false" ht="13.5" hidden="false" customHeight="true" outlineLevel="0" collapsed="false">
      <c r="A6" s="1" t="str">
        <f aca="false">IF(listes!K5="","",listes!K5)</f>
        <v>MAT004</v>
      </c>
      <c r="B6" s="10" t="str">
        <f aca="false">IF(listes!L5="","",listes!L5)</f>
        <v>anglais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</row>
    <row r="7" customFormat="false" ht="13.5" hidden="false" customHeight="true" outlineLevel="0" collapsed="false">
      <c r="A7" s="1" t="str">
        <f aca="false">IF(listes!K6="","",listes!K6)</f>
        <v>MAT005</v>
      </c>
      <c r="B7" s="10" t="str">
        <f aca="false">IF(listes!L6="","",listes!L6)</f>
        <v>éducation artistique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</row>
    <row r="8" customFormat="false" ht="13.5" hidden="false" customHeight="true" outlineLevel="0" collapsed="false">
      <c r="A8" s="1" t="str">
        <f aca="false">IF(listes!K7="","",listes!K7)</f>
        <v>MAT006</v>
      </c>
      <c r="B8" s="10" t="str">
        <f aca="false">IF(listes!L7="","",listes!L7)</f>
        <v>éducation physique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</row>
    <row r="9" customFormat="false" ht="13.5" hidden="false" customHeight="true" outlineLevel="0" collapsed="false">
      <c r="A9" s="1" t="str">
        <f aca="false">IF(listes!K8="","",listes!K8)</f>
        <v>MAT007</v>
      </c>
      <c r="B9" s="10" t="str">
        <f aca="false">IF(listes!L8="","",listes!L8)</f>
        <v>histoire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</row>
    <row r="10" customFormat="false" ht="13.5" hidden="false" customHeight="true" outlineLevel="0" collapsed="false">
      <c r="A10" s="1" t="str">
        <f aca="false">IF(listes!K9="","",listes!K9)</f>
        <v>MAT008</v>
      </c>
      <c r="B10" s="10" t="str">
        <f aca="false">IF(listes!L9="","",listes!L9)</f>
        <v>géographie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1</v>
      </c>
    </row>
    <row r="11" customFormat="false" ht="13.5" hidden="false" customHeight="true" outlineLevel="0" collapsed="false">
      <c r="A11" s="1" t="str">
        <f aca="false">IF(listes!K10="","",listes!K10)</f>
        <v>MAT009</v>
      </c>
      <c r="B11" s="10" t="str">
        <f aca="false">IF(listes!L10="","",listes!L10)</f>
        <v>sciences</v>
      </c>
      <c r="F11" s="6" t="n">
        <v>1</v>
      </c>
      <c r="G11" s="6" t="n">
        <v>1</v>
      </c>
      <c r="H11" s="6" t="n">
        <v>1</v>
      </c>
    </row>
    <row r="12" customFormat="false" ht="13.5" hidden="false" customHeight="true" outlineLevel="0" collapsed="false">
      <c r="A12" s="1" t="str">
        <f aca="false">IF(listes!K11="","",listes!K11)</f>
        <v>MAT010</v>
      </c>
      <c r="B12" s="10" t="str">
        <f aca="false">IF(listes!L11="","",listes!L11)</f>
        <v>EMC</v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</row>
    <row r="13" customFormat="false" ht="13.5" hidden="false" customHeight="true" outlineLevel="0" collapsed="false">
      <c r="A13" s="1" t="str">
        <f aca="false">IF(listes!K12="","",listes!K12)</f>
        <v>MAT011</v>
      </c>
      <c r="B13" s="10" t="str">
        <f aca="false">IF(listes!L12="","",listes!L12)</f>
        <v>SVT</v>
      </c>
      <c r="I13" s="6" t="n">
        <v>1</v>
      </c>
      <c r="J13" s="6" t="n">
        <v>1</v>
      </c>
      <c r="K13" s="6" t="n">
        <v>1</v>
      </c>
    </row>
    <row r="14" customFormat="false" ht="13.5" hidden="false" customHeight="true" outlineLevel="0" collapsed="false">
      <c r="A14" s="1" t="str">
        <f aca="false">IF(listes!K13="","",listes!K13)</f>
        <v>MAT012</v>
      </c>
      <c r="B14" s="10" t="str">
        <f aca="false">IF(listes!L13="","",listes!L13)</f>
        <v>physique</v>
      </c>
      <c r="I14" s="6" t="n">
        <v>1</v>
      </c>
      <c r="J14" s="6" t="n">
        <v>1</v>
      </c>
      <c r="K14" s="6" t="n">
        <v>1</v>
      </c>
    </row>
    <row r="15" customFormat="false" ht="13.5" hidden="false" customHeight="true" outlineLevel="0" collapsed="false">
      <c r="A15" s="1" t="str">
        <f aca="false">IF(listes!K14="","",listes!K14)</f>
        <v>MAT013</v>
      </c>
      <c r="B15" s="10" t="str">
        <f aca="false">IF(listes!L14="","",listes!L14)</f>
        <v>chimie</v>
      </c>
      <c r="I15" s="6" t="n">
        <v>1</v>
      </c>
      <c r="J15" s="6" t="n">
        <v>1</v>
      </c>
      <c r="K15" s="6" t="n">
        <v>1</v>
      </c>
    </row>
    <row r="16" customFormat="false" ht="13.5" hidden="false" customHeight="true" outlineLevel="0" collapsed="false">
      <c r="A16" s="1" t="str">
        <f aca="false">IF(listes!K15="","",listes!K15)</f>
        <v>MAT014</v>
      </c>
      <c r="B16" s="10" t="str">
        <f aca="false">IF(listes!L15="","",listes!L15)</f>
        <v>technologie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</row>
    <row r="17" customFormat="false" ht="13.5" hidden="false" customHeight="true" outlineLevel="0" collapsed="false">
      <c r="A17" s="1" t="str">
        <f aca="false">IF(listes!K16="","",listes!K16)</f>
        <v>MAT015</v>
      </c>
      <c r="B17" s="10" t="str">
        <f aca="false">IF(listes!L16="","",listes!L16)</f>
        <v>arts plastiques</v>
      </c>
      <c r="H17" s="6" t="n">
        <v>1</v>
      </c>
      <c r="I17" s="6" t="n">
        <v>1</v>
      </c>
      <c r="J17" s="6" t="n">
        <v>1</v>
      </c>
      <c r="K17" s="6" t="n">
        <v>1</v>
      </c>
    </row>
    <row r="18" customFormat="false" ht="13.5" hidden="false" customHeight="true" outlineLevel="0" collapsed="false">
      <c r="A18" s="1" t="str">
        <f aca="false">IF(listes!K17="","",listes!K17)</f>
        <v>MAT016</v>
      </c>
      <c r="B18" s="10" t="str">
        <f aca="false">IF(listes!L17="","",listes!L17)</f>
        <v>éducation musicale</v>
      </c>
      <c r="H18" s="6" t="n">
        <v>1</v>
      </c>
      <c r="I18" s="6" t="n">
        <v>1</v>
      </c>
      <c r="J18" s="6" t="n">
        <v>1</v>
      </c>
      <c r="K18" s="6" t="n">
        <v>1</v>
      </c>
    </row>
    <row r="19" customFormat="false" ht="13.5" hidden="false" customHeight="true" outlineLevel="0" collapsed="false">
      <c r="A19" s="1" t="str">
        <f aca="false">IF(listes!K18="","",listes!K18)</f>
        <v>MAT017</v>
      </c>
      <c r="B19" s="10" t="str">
        <f aca="false">IF(listes!L18="","",listes!L18)</f>
        <v>EPS</v>
      </c>
      <c r="H19" s="6" t="n">
        <v>1</v>
      </c>
      <c r="I19" s="6" t="n">
        <v>1</v>
      </c>
      <c r="J19" s="6" t="n">
        <v>1</v>
      </c>
      <c r="K19" s="6" t="n">
        <v>1</v>
      </c>
    </row>
    <row r="20" customFormat="false" ht="13.5" hidden="false" customHeight="true" outlineLevel="0" collapsed="false">
      <c r="A20" s="1" t="str">
        <f aca="false">IF(listes!K19="","",listes!K19)</f>
        <v>MAT018</v>
      </c>
      <c r="B20" s="10" t="str">
        <f aca="false">IF(listes!L19="","",listes!L19)</f>
        <v>SES</v>
      </c>
    </row>
    <row r="21" customFormat="false" ht="13.5" hidden="false" customHeight="true" outlineLevel="0" collapsed="false">
      <c r="A21" s="1" t="str">
        <f aca="false">IF(listes!K20="","",listes!K20)</f>
        <v>MAT019</v>
      </c>
      <c r="B21" s="10" t="str">
        <f aca="false">IF(listes!L20="","",listes!L20)</f>
        <v>SNT</v>
      </c>
    </row>
    <row r="22" customFormat="false" ht="13.5" hidden="false" customHeight="true" outlineLevel="0" collapsed="false">
      <c r="A22" s="1" t="str">
        <f aca="false">IF(listes!K21="","",listes!K21)</f>
        <v>MAT020</v>
      </c>
      <c r="B22" s="10" t="str">
        <f aca="false">IF(listes!L21="","",listes!L21)</f>
        <v>NSI</v>
      </c>
    </row>
    <row r="23" customFormat="false" ht="13.5" hidden="false" customHeight="true" outlineLevel="0" collapsed="false">
      <c r="A23" s="1" t="str">
        <f aca="false">IF(listes!K22="","",listes!K22)</f>
        <v>MAT021</v>
      </c>
      <c r="B23" s="10" t="str">
        <f aca="false">IF(listes!L22="","",listes!L22)</f>
        <v>sciences de l'ingénieur</v>
      </c>
    </row>
    <row r="24" customFormat="false" ht="13.5" hidden="false" customHeight="true" outlineLevel="0" collapsed="false">
      <c r="A24" s="1" t="str">
        <f aca="false">IF(listes!K23="","",listes!K23)</f>
        <v>MAT022</v>
      </c>
      <c r="B24" s="10" t="str">
        <f aca="false">IF(listes!L23="","",listes!L23)</f>
        <v>HGGSP</v>
      </c>
    </row>
    <row r="25" customFormat="false" ht="13.5" hidden="false" customHeight="true" outlineLevel="0" collapsed="false">
      <c r="A25" s="1" t="str">
        <f aca="false">IF(listes!K24="","",listes!K24)</f>
        <v>MAT023</v>
      </c>
      <c r="B25" s="10" t="str">
        <f aca="false">IF(listes!L24="","",listes!L24)</f>
        <v>HLP</v>
      </c>
    </row>
    <row r="26" customFormat="false" ht="13.5" hidden="false" customHeight="true" outlineLevel="0" collapsed="false">
      <c r="A26" s="1" t="str">
        <f aca="false">IF(listes!K25="","",listes!K25)</f>
        <v>MAT024</v>
      </c>
      <c r="B26" s="10" t="str">
        <f aca="false">IF(listes!L25="","",listes!L25)</f>
        <v>LLCER</v>
      </c>
    </row>
    <row r="27" customFormat="false" ht="13.5" hidden="false" customHeight="true" outlineLevel="0" collapsed="false">
      <c r="A27" s="1" t="str">
        <f aca="false">IF(listes!K26="","",listes!K26)</f>
        <v>MAT025</v>
      </c>
      <c r="B27" s="10" t="str">
        <f aca="false">IF(listes!L26="","",listes!L26)</f>
        <v>LLCA</v>
      </c>
    </row>
    <row r="28" customFormat="false" ht="13.5" hidden="false" customHeight="true" outlineLevel="0" collapsed="false">
      <c r="A28" s="1" t="str">
        <f aca="false">IF(listes!K27="","",listes!K27)</f>
        <v>MAT026</v>
      </c>
      <c r="B28" s="10" t="str">
        <f aca="false">IF(listes!L27="","",listes!L27)</f>
        <v>Arts</v>
      </c>
    </row>
    <row r="29" customFormat="false" ht="13.5" hidden="false" customHeight="true" outlineLevel="0" collapsed="false">
      <c r="A29" s="1" t="str">
        <f aca="false">IF(listes!K28="","",listes!K28)</f>
        <v>MAT027</v>
      </c>
      <c r="B29" s="10" t="str">
        <f aca="false">IF(listes!L28="","",listes!L28)</f>
        <v>éducation physique, pratiques et culture sportives</v>
      </c>
    </row>
    <row r="30" customFormat="false" ht="13.5" hidden="false" customHeight="true" outlineLevel="0" collapsed="false">
      <c r="A30" s="1" t="str">
        <f aca="false">IF(listes!K29="","",listes!K29)</f>
        <v>MAT028</v>
      </c>
      <c r="B30" s="10" t="str">
        <f aca="false">IF(listes!L29="","",listes!L29)</f>
        <v>philosophie</v>
      </c>
    </row>
    <row r="31" customFormat="false" ht="13.5" hidden="false" customHeight="true" outlineLevel="0" collapsed="false">
      <c r="A31" s="1" t="str">
        <f aca="false">IF(listes!K30="","",listes!K30)</f>
        <v>MAT029</v>
      </c>
      <c r="B31" s="10" t="str">
        <f aca="false">IF(listes!L30="","",listes!L30)</f>
        <v>DGEMC</v>
      </c>
    </row>
    <row r="32" customFormat="false" ht="13.5" hidden="false" customHeight="true" outlineLevel="0" collapsed="false">
      <c r="A32" s="1" t="str">
        <f aca="false">IF(listes!K31="","",listes!K31)</f>
        <v>MAT030</v>
      </c>
      <c r="B32" s="10" t="str">
        <f aca="false">IF(listes!L31="","",listes!L31)</f>
        <v>latin</v>
      </c>
      <c r="I32" s="6" t="n">
        <v>1</v>
      </c>
      <c r="J32" s="6" t="n">
        <v>1</v>
      </c>
      <c r="K32" s="6" t="n">
        <v>1</v>
      </c>
    </row>
    <row r="33" customFormat="false" ht="13.5" hidden="false" customHeight="true" outlineLevel="0" collapsed="false">
      <c r="A33" s="1" t="str">
        <f aca="false">IF(listes!K32="","",listes!K32)</f>
        <v>MAT031</v>
      </c>
      <c r="B33" s="10" t="str">
        <f aca="false">IF(listes!L32="","",listes!L32)</f>
        <v>grec ancien</v>
      </c>
      <c r="I33" s="6" t="n">
        <v>1</v>
      </c>
      <c r="J33" s="6" t="n">
        <v>1</v>
      </c>
      <c r="K33" s="6" t="n">
        <v>1</v>
      </c>
    </row>
    <row r="34" customFormat="false" ht="13.5" hidden="false" customHeight="true" outlineLevel="0" collapsed="false">
      <c r="A34" s="1" t="str">
        <f aca="false">IF(listes!K33="","",listes!K33)</f>
        <v>MAT032</v>
      </c>
      <c r="B34" s="10" t="str">
        <f aca="false">IF(listes!L33="","",listes!L33)</f>
        <v>littérature française</v>
      </c>
    </row>
    <row r="35" customFormat="false" ht="13.5" hidden="false" customHeight="true" outlineLevel="0" collapsed="false">
      <c r="A35" s="1" t="str">
        <f aca="false">IF(listes!K34="","",listes!K34)</f>
        <v>MAT033</v>
      </c>
      <c r="B35" s="10" t="str">
        <f aca="false">IF(listes!L34="","",listes!L34)</f>
        <v>littérature comparée</v>
      </c>
    </row>
    <row r="36" customFormat="false" ht="13.5" hidden="false" customHeight="true" outlineLevel="0" collapsed="false">
      <c r="A36" s="1" t="str">
        <f aca="false">IF(listes!K35="","",listes!K35)</f>
        <v>MAT034</v>
      </c>
      <c r="B36" s="10" t="str">
        <f aca="false">IF(listes!L35="","",listes!L35)</f>
        <v>langue française et stylistique</v>
      </c>
    </row>
    <row r="37" customFormat="false" ht="13.5" hidden="false" customHeight="true" outlineLevel="0" collapsed="false">
      <c r="A37" s="1" t="str">
        <f aca="false">IF(listes!K36="","",listes!K36)</f>
        <v>MAT035</v>
      </c>
      <c r="B37" s="10" t="str">
        <f aca="false">IF(listes!L36="","",listes!L36)</f>
        <v>linguistique</v>
      </c>
    </row>
    <row r="38" customFormat="false" ht="13.5" hidden="false" customHeight="true" outlineLevel="0" collapsed="false">
      <c r="A38" s="1" t="str">
        <f aca="false">IF(listes!K37="","",listes!K37)</f>
        <v>MAT036</v>
      </c>
      <c r="B38" s="10" t="str">
        <f aca="false">IF(listes!L37="","",listes!L37)</f>
        <v>économie</v>
      </c>
    </row>
    <row r="39" customFormat="false" ht="13.5" hidden="false" customHeight="true" outlineLevel="0" collapsed="false">
      <c r="A39" s="1" t="str">
        <f aca="false">IF(listes!K38="","",listes!K38)</f>
        <v>MAT037</v>
      </c>
      <c r="B39" s="10" t="str">
        <f aca="false">IF(listes!L38="","",listes!L38)</f>
        <v>sociologie</v>
      </c>
    </row>
    <row r="40" customFormat="false" ht="13.5" hidden="false" customHeight="true" outlineLevel="0" collapsed="false">
      <c r="A40" s="1" t="str">
        <f aca="false">IF(listes!K39="","",listes!K39)</f>
        <v>MAT038</v>
      </c>
      <c r="B40" s="10" t="str">
        <f aca="false">IF(listes!L39="","",listes!L39)</f>
        <v>géopolitique</v>
      </c>
    </row>
    <row r="41" customFormat="false" ht="13.5" hidden="false" customHeight="true" outlineLevel="0" collapsed="false">
      <c r="A41" s="1" t="str">
        <f aca="false">IF(listes!K40="","",listes!K40)</f>
        <v>MAT039</v>
      </c>
      <c r="B41" s="10" t="str">
        <f aca="false">IF(listes!L40="","",listes!L40)</f>
        <v>design</v>
      </c>
    </row>
    <row r="42" customFormat="false" ht="13.5" hidden="false" customHeight="true" outlineLevel="0" collapsed="false">
      <c r="A42" s="1" t="str">
        <f aca="false">IF(listes!K41="","",listes!K41)</f>
        <v>MAT040</v>
      </c>
      <c r="B42" s="10" t="str">
        <f aca="false">IF(listes!L41="","",listes!L41)</f>
        <v>histoire de l'art</v>
      </c>
    </row>
    <row r="43" customFormat="false" ht="13.5" hidden="false" customHeight="true" outlineLevel="0" collapsed="false">
      <c r="A43" s="1" t="str">
        <f aca="false">IF(listes!K42="","",listes!K42)</f>
        <v>MAT041</v>
      </c>
      <c r="B43" s="10" t="str">
        <f aca="false">IF(listes!L42="","",listes!L42)</f>
        <v>biologie</v>
      </c>
    </row>
    <row r="44" customFormat="false" ht="13.5" hidden="false" customHeight="true" outlineLevel="0" collapsed="false">
      <c r="A44" s="1" t="str">
        <f aca="false">IF(listes!K43="","",listes!K43)</f>
        <v>MAT042</v>
      </c>
      <c r="B44" s="10" t="str">
        <f aca="false">IF(listes!L43="","",listes!L43)</f>
        <v>géologie</v>
      </c>
    </row>
    <row r="45" customFormat="false" ht="13.5" hidden="false" customHeight="true" outlineLevel="0" collapsed="false">
      <c r="A45" s="1" t="str">
        <f aca="false">IF(listes!K44="","",listes!K44)</f>
        <v>MAT043</v>
      </c>
      <c r="B45" s="10" t="str">
        <f aca="false">IF(listes!L44="","",listes!L44)</f>
        <v>informatique</v>
      </c>
    </row>
    <row r="46" customFormat="false" ht="13.5" hidden="false" customHeight="true" outlineLevel="0" collapsed="false">
      <c r="A46" s="1" t="str">
        <f aca="false">IF(listes!K45="","",listes!K45)</f>
        <v>MAT044</v>
      </c>
      <c r="B46" s="10" t="str">
        <f aca="false">IF(listes!L45="","",listes!L45)</f>
        <v>français-philosophie</v>
      </c>
    </row>
    <row r="47" customFormat="false" ht="13.5" hidden="false" customHeight="true" outlineLevel="0" collapsed="false">
      <c r="A47" s="1" t="str">
        <f aca="false">IF(listes!K46="","",listes!K46)</f>
        <v>MAT045</v>
      </c>
      <c r="B47" s="10" t="str">
        <f aca="false">IF(listes!L46="","",listes!L46)</f>
        <v>projet architectural</v>
      </c>
    </row>
    <row r="48" customFormat="false" ht="13.5" hidden="false" customHeight="true" outlineLevel="0" collapsed="false">
      <c r="A48" s="1" t="str">
        <f aca="false">IF(listes!K47="","",listes!K47)</f>
        <v>MAT046</v>
      </c>
      <c r="B48" s="10" t="str">
        <f aca="false">IF(listes!L47="","",listes!L47)</f>
        <v>histoire de l'architecture</v>
      </c>
    </row>
    <row r="49" customFormat="false" ht="13.5" hidden="false" customHeight="true" outlineLevel="0" collapsed="false">
      <c r="A49" s="1" t="str">
        <f aca="false">IF(listes!K48="","",listes!K48)</f>
        <v>MAT047</v>
      </c>
      <c r="B49" s="10" t="str">
        <f aca="false">IF(listes!L48="","",listes!L48)</f>
        <v>construction et structures</v>
      </c>
    </row>
    <row r="50" customFormat="false" ht="13.5" hidden="false" customHeight="true" outlineLevel="0" collapsed="false">
      <c r="A50" s="1" t="str">
        <f aca="false">IF(listes!K49="","",listes!K49)</f>
        <v>MAT048</v>
      </c>
      <c r="B50" s="10" t="str">
        <f aca="false">IF(listes!L49="","",listes!L49)</f>
        <v>urbanisme</v>
      </c>
    </row>
    <row r="51" customFormat="false" ht="13.5" hidden="false" customHeight="true" outlineLevel="0" collapsed="false">
      <c r="A51" s="1" t="str">
        <f aca="false">IF(listes!K50="","",listes!K50)</f>
        <v>MAT049</v>
      </c>
      <c r="B51" s="10" t="str">
        <f aca="false">IF(listes!L50="","",listes!L50)</f>
        <v>représentation (dessin, CAO)</v>
      </c>
    </row>
    <row r="52" customFormat="false" ht="13.5" hidden="false" customHeight="true" outlineLevel="0" collapsed="false">
      <c r="A52" s="1" t="str">
        <f aca="false">IF(listes!K51="","",listes!K51)</f>
        <v>MAT050</v>
      </c>
      <c r="B52" s="10" t="str">
        <f aca="false">IF(listes!L51="","",listes!L51)</f>
        <v>dessin</v>
      </c>
    </row>
    <row r="53" customFormat="false" ht="13.5" hidden="false" customHeight="true" outlineLevel="0" collapsed="false">
      <c r="A53" s="1" t="str">
        <f aca="false">IF(listes!K52="","",listes!K52)</f>
        <v>MAT051</v>
      </c>
      <c r="B53" s="10" t="str">
        <f aca="false">IF(listes!L52="","",listes!L52)</f>
        <v>photographie</v>
      </c>
    </row>
    <row r="54" customFormat="false" ht="13.5" hidden="false" customHeight="true" outlineLevel="0" collapsed="false">
      <c r="A54" s="1" t="str">
        <f aca="false">IF(listes!K53="","",listes!K53)</f>
        <v>MAT052</v>
      </c>
      <c r="B54" s="10" t="str">
        <f aca="false">IF(listes!L53="","",listes!L53)</f>
        <v>cinéma et analyse filmique</v>
      </c>
    </row>
    <row r="55" customFormat="false" ht="13.5" hidden="false" customHeight="true" outlineLevel="0" collapsed="false">
      <c r="A55" s="1" t="str">
        <f aca="false">IF(listes!K54="","",listes!K54)</f>
        <v>MAT053</v>
      </c>
      <c r="B55" s="10" t="str">
        <f aca="false">IF(listes!L54="","",listes!L54)</f>
        <v>techniques audiovisuelles (image, son, montage)</v>
      </c>
    </row>
    <row r="56" customFormat="false" ht="13.5" hidden="false" customHeight="true" outlineLevel="0" collapsed="false">
      <c r="A56" s="1" t="str">
        <f aca="false">IF(listes!K55="","",listes!K55)</f>
        <v>MAT054</v>
      </c>
      <c r="B56" s="10" t="str">
        <f aca="false">IF(listes!L55="","",listes!L55)</f>
        <v>écriture de scénario</v>
      </c>
    </row>
    <row r="57" customFormat="false" ht="13.5" hidden="false" customHeight="true" outlineLevel="0" collapsed="false">
      <c r="A57" s="1" t="str">
        <f aca="false">IF(listes!K56="","",listes!K56)</f>
        <v>MAT055</v>
      </c>
      <c r="B57" s="10" t="str">
        <f aca="false">IF(listes!L56="","",listes!L56)</f>
        <v>formation musicale</v>
      </c>
    </row>
    <row r="58" customFormat="false" ht="13.5" hidden="false" customHeight="true" outlineLevel="0" collapsed="false">
      <c r="A58" s="1" t="str">
        <f aca="false">IF(listes!K57="","",listes!K57)</f>
        <v>MAT056</v>
      </c>
      <c r="B58" s="10" t="str">
        <f aca="false">IF(listes!L57="","",listes!L57)</f>
        <v>histoire de la musique</v>
      </c>
    </row>
    <row r="59" customFormat="false" ht="13.5" hidden="false" customHeight="true" outlineLevel="0" collapsed="false">
      <c r="A59" s="1" t="str">
        <f aca="false">IF(listes!K58="","",listes!K58)</f>
        <v>MAT057</v>
      </c>
      <c r="B59" s="10" t="str">
        <f aca="false">IF(listes!L58="","",listes!L58)</f>
        <v>analyse musicale</v>
      </c>
    </row>
    <row r="60" customFormat="false" ht="13.5" hidden="false" customHeight="true" outlineLevel="0" collapsed="false">
      <c r="A60" s="1" t="str">
        <f aca="false">IF(listes!K59="","",listes!K59)</f>
        <v>MAT058</v>
      </c>
      <c r="B60" s="10" t="str">
        <f aca="false">IF(listes!L59="","",listes!L59)</f>
        <v>instrument</v>
      </c>
    </row>
    <row r="61" customFormat="false" ht="13.5" hidden="false" customHeight="true" outlineLevel="0" collapsed="false">
      <c r="A61" s="1" t="str">
        <f aca="false">IF(listes!K60="","",listes!K60)</f>
        <v>MAT059</v>
      </c>
      <c r="B61" s="10" t="str">
        <f aca="false">IF(listes!L60="","",listes!L60)</f>
        <v>danse</v>
      </c>
    </row>
    <row r="62" customFormat="false" ht="13.5" hidden="false" customHeight="true" outlineLevel="0" collapsed="false">
      <c r="A62" s="1" t="str">
        <f aca="false">IF(listes!K61="","",listes!K61)</f>
        <v>MAT060</v>
      </c>
      <c r="B62" s="10" t="str">
        <f aca="false">IF(listes!L61="","",listes!L61)</f>
        <v>histoire de la danse</v>
      </c>
    </row>
    <row r="63" customFormat="false" ht="13.5" hidden="false" customHeight="true" outlineLevel="0" collapsed="false">
      <c r="A63" s="1" t="str">
        <f aca="false">IF(listes!K62="","",listes!K62)</f>
        <v>MAT061</v>
      </c>
      <c r="B63" s="10" t="str">
        <f aca="false">IF(listes!L62="","",listes!L62)</f>
        <v>anatomie</v>
      </c>
    </row>
    <row r="64" customFormat="false" ht="13.5" hidden="false" customHeight="true" outlineLevel="0" collapsed="false">
      <c r="A64" s="1" t="str">
        <f aca="false">IF(listes!K63="","",listes!K63)</f>
        <v>MAT062</v>
      </c>
      <c r="B64" s="10" t="str">
        <f aca="false">IF(listes!L63="","",listes!L63)</f>
        <v>jeu théâtral</v>
      </c>
    </row>
    <row r="65" customFormat="false" ht="13.5" hidden="false" customHeight="true" outlineLevel="0" collapsed="false">
      <c r="A65" s="1" t="str">
        <f aca="false">IF(listes!K64="","",listes!K64)</f>
        <v>MAT063</v>
      </c>
      <c r="B65" s="10" t="str">
        <f aca="false">IF(listes!L64="","",listes!L64)</f>
        <v>histoire du théâtre</v>
      </c>
    </row>
    <row r="66" customFormat="false" ht="13.5" hidden="false" customHeight="true" outlineLevel="0" collapsed="false">
      <c r="A66" s="1" t="str">
        <f aca="false">IF(listes!K65="","",listes!K65)</f>
        <v>MAT064</v>
      </c>
      <c r="B66" s="10" t="str">
        <f aca="false">IF(listes!L65="","",listes!L65)</f>
        <v>dramaturgie</v>
      </c>
    </row>
    <row r="67" customFormat="false" ht="13.5" hidden="false" customHeight="true" outlineLevel="0" collapsed="false">
      <c r="A67" s="1" t="str">
        <f aca="false">IF(listes!K66="","",listes!K66)</f>
        <v>MAT065</v>
      </c>
      <c r="B67" s="10" t="str">
        <f aca="false">IF(listes!L66="","",listes!L66)</f>
        <v>voix et diction</v>
      </c>
    </row>
    <row r="68" customFormat="false" ht="13.5" hidden="false" customHeight="true" outlineLevel="0" collapsed="false">
      <c r="A68" s="1" t="str">
        <f aca="false">IF(listes!K67="","",listes!K67)</f>
        <v>MAT066</v>
      </c>
      <c r="B68" s="10" t="str">
        <f aca="false">IF(listes!L67="","",listes!L67)</f>
        <v>arts du cirque</v>
      </c>
    </row>
    <row r="69" customFormat="false" ht="13.5" hidden="false" customHeight="true" outlineLevel="0" collapsed="false">
      <c r="A69" s="1" t="str">
        <f aca="false">IF(listes!K68="","",listes!K68)</f>
        <v>MAT067</v>
      </c>
      <c r="B69" s="10" t="str">
        <f aca="false">IF(listes!L68="","",listes!L68)</f>
        <v>mime et arts du geste</v>
      </c>
    </row>
    <row r="70" customFormat="false" ht="13.5" hidden="false" customHeight="true" outlineLevel="0" collapsed="false">
      <c r="A70" s="1" t="str">
        <f aca="false">IF(listes!K69="","",listes!K69)</f>
        <v>MAT068</v>
      </c>
      <c r="B70" s="10" t="str">
        <f aca="false">IF(listes!L69="","",listes!L69)</f>
        <v>histoire des arts du cirque</v>
      </c>
    </row>
    <row r="71" customFormat="false" ht="13.5" hidden="false" customHeight="true" outlineLevel="0" collapsed="false">
      <c r="A71" s="1" t="str">
        <f aca="false">IF(listes!K70="","",listes!K70)</f>
        <v>MAT069</v>
      </c>
      <c r="B71" s="10" t="str">
        <f aca="false">IF(listes!L70="","",listes!L70)</f>
        <v>espagnol</v>
      </c>
      <c r="I71" s="6" t="n">
        <v>1</v>
      </c>
      <c r="J71" s="6" t="n">
        <v>1</v>
      </c>
      <c r="K71" s="6" t="n">
        <v>1</v>
      </c>
    </row>
    <row r="72" customFormat="false" ht="13.5" hidden="false" customHeight="true" outlineLevel="0" collapsed="false">
      <c r="A72" s="1" t="str">
        <f aca="false">IF(listes!K71="","",listes!K71)</f>
        <v>MAT070</v>
      </c>
      <c r="B72" s="10" t="str">
        <f aca="false">IF(listes!L71="","",listes!L71)</f>
        <v>allemand</v>
      </c>
      <c r="I72" s="6" t="n">
        <v>1</v>
      </c>
      <c r="J72" s="6" t="n">
        <v>1</v>
      </c>
      <c r="K72" s="6" t="n">
        <v>1</v>
      </c>
    </row>
    <row r="73" customFormat="false" ht="13.5" hidden="false" customHeight="true" outlineLevel="0" collapsed="false">
      <c r="A73" s="1" t="str">
        <f aca="false">IF(listes!K72="","",listes!K72)</f>
        <v>MAT071</v>
      </c>
      <c r="B73" s="10" t="str">
        <f aca="false">IF(listes!L72="","",listes!L72)</f>
        <v>italien</v>
      </c>
      <c r="I73" s="6" t="n">
        <v>1</v>
      </c>
      <c r="J73" s="6" t="n">
        <v>1</v>
      </c>
      <c r="K73" s="6" t="n">
        <v>1</v>
      </c>
    </row>
    <row r="74" customFormat="false" ht="13.5" hidden="false" customHeight="true" outlineLevel="0" collapsed="false">
      <c r="A74" s="1" t="str">
        <f aca="false">IF(listes!K73="","",listes!K73)</f>
        <v>MAT072</v>
      </c>
      <c r="B74" s="10" t="str">
        <f aca="false">IF(listes!L73="","",listes!L73)</f>
        <v>enseignement scientifique</v>
      </c>
    </row>
    <row r="75" customFormat="false" ht="13.5" hidden="false" customHeight="true" outlineLevel="0" collapsed="false">
      <c r="A75" s="1" t="str">
        <f aca="false">IF(listes!K74="","",listes!K74)</f>
        <v>MAT073</v>
      </c>
      <c r="B75" s="10" t="str">
        <f aca="false">IF(listes!L74="","",listes!L74)</f>
        <v>mathématiques complémentaires</v>
      </c>
    </row>
    <row r="76" customFormat="false" ht="13.5" hidden="false" customHeight="true" outlineLevel="0" collapsed="false">
      <c r="A76" s="1" t="str">
        <f aca="false">IF(listes!K75="","",listes!K75)</f>
        <v>MAT074</v>
      </c>
      <c r="B76" s="10" t="str">
        <f aca="false">IF(listes!L75="","",listes!L75)</f>
        <v>mathématiques expertes</v>
      </c>
    </row>
    <row r="77" customFormat="false" ht="13.5" hidden="false" customHeight="true" outlineLevel="0" collapsed="false">
      <c r="A77" s="1" t="str">
        <f aca="false">IF(listes!K76="","",listes!K76)</f>
        <v>MAT075</v>
      </c>
      <c r="B77" s="10" t="str">
        <f aca="false">IF(listes!L76="","",listes!L76)</f>
        <v>biologie-écologie</v>
      </c>
    </row>
    <row r="78" customFormat="false" ht="13.5" hidden="false" customHeight="true" outlineLevel="0" collapsed="false">
      <c r="A78" s="1" t="str">
        <f aca="false">IF(listes!K77="","",listes!K77)</f>
        <v>MAT076</v>
      </c>
      <c r="B78" s="10" t="str">
        <f aca="false">IF(listes!L77="","",listes!L77)</f>
        <v>management</v>
      </c>
    </row>
    <row r="79" customFormat="false" ht="13.5" hidden="false" customHeight="true" outlineLevel="0" collapsed="false">
      <c r="A79" s="1" t="str">
        <f aca="false">IF(listes!K78="","",listes!K78)</f>
        <v>MAT077</v>
      </c>
      <c r="B79" s="10" t="str">
        <f aca="false">IF(listes!L78="","",listes!L78)</f>
        <v>sciences de gestion et numérique</v>
      </c>
    </row>
    <row r="80" customFormat="false" ht="13.5" hidden="false" customHeight="true" outlineLevel="0" collapsed="false">
      <c r="A80" s="1" t="str">
        <f aca="false">IF(listes!K79="","",listes!K79)</f>
        <v>MAT078</v>
      </c>
      <c r="B80" s="10" t="str">
        <f aca="false">IF(listes!L79="","",listes!L79)</f>
        <v>droit et économie</v>
      </c>
    </row>
    <row r="81" customFormat="false" ht="13.5" hidden="false" customHeight="true" outlineLevel="0" collapsed="false">
      <c r="A81" s="1" t="str">
        <f aca="false">IF(listes!K80="","",listes!K80)</f>
        <v>MAT079</v>
      </c>
      <c r="B81" s="10" t="str">
        <f aca="false">IF(listes!L80="","",listes!L80)</f>
        <v>innovation technologique</v>
      </c>
    </row>
    <row r="82" customFormat="false" ht="13.5" hidden="false" customHeight="true" outlineLevel="0" collapsed="false">
      <c r="A82" s="1" t="str">
        <f aca="false">IF(listes!K81="","",listes!K81)</f>
        <v>MAT080</v>
      </c>
      <c r="B82" s="10" t="str">
        <f aca="false">IF(listes!L81="","",listes!L81)</f>
        <v>ingénierie et développement durable (2I2D)</v>
      </c>
    </row>
    <row r="83" customFormat="false" ht="13.5" hidden="false" customHeight="true" outlineLevel="0" collapsed="false">
      <c r="A83" s="1" t="str">
        <f aca="false">IF(listes!K82="","",listes!K82)</f>
        <v>MAT081</v>
      </c>
      <c r="B83" s="10" t="str">
        <f aca="false">IF(listes!L82="","",listes!L82)</f>
        <v>biochimie</v>
      </c>
    </row>
    <row r="84" customFormat="false" ht="13.5" hidden="false" customHeight="true" outlineLevel="0" collapsed="false">
      <c r="A84" s="1" t="str">
        <f aca="false">IF(listes!K83="","",listes!K83)</f>
        <v>MAT082</v>
      </c>
      <c r="B84" s="10" t="str">
        <f aca="false">IF(listes!L83="","",listes!L83)</f>
        <v>biotechnologies</v>
      </c>
    </row>
    <row r="85" customFormat="false" ht="13.5" hidden="false" customHeight="true" outlineLevel="0" collapsed="false">
      <c r="A85" s="1" t="str">
        <f aca="false">IF(listes!K84="","",listes!K84)</f>
        <v>MAT083</v>
      </c>
      <c r="B85" s="10" t="str">
        <f aca="false">IF(listes!L84="","",listes!L84)</f>
        <v>sciences et techniques sanitaires et sociales</v>
      </c>
    </row>
    <row r="86" customFormat="false" ht="13.5" hidden="false" customHeight="true" outlineLevel="0" collapsed="false">
      <c r="A86" s="1" t="str">
        <f aca="false">IF(listes!K85="","",listes!K85)</f>
        <v>MAT084</v>
      </c>
      <c r="B86" s="10" t="str">
        <f aca="false">IF(listes!L85="","",listes!L85)</f>
        <v>biologie et physiopathologie humaines</v>
      </c>
    </row>
    <row r="87" customFormat="false" ht="13.5" hidden="false" customHeight="true" outlineLevel="0" collapsed="false">
      <c r="A87" s="1" t="str">
        <f aca="false">IF(listes!K86="","",listes!K86)</f>
        <v>MAT085</v>
      </c>
      <c r="B87" s="10" t="str">
        <f aca="false">IF(listes!L86="","",listes!L86)</f>
        <v>économie et gestion hôtelière</v>
      </c>
    </row>
    <row r="88" customFormat="false" ht="13.5" hidden="false" customHeight="true" outlineLevel="0" collapsed="false">
      <c r="A88" s="1" t="str">
        <f aca="false">IF(listes!K87="","",listes!K87)</f>
        <v>MAT086</v>
      </c>
      <c r="B88" s="10" t="str">
        <f aca="false">IF(listes!L87="","",listes!L87)</f>
        <v>sciences et technologies culinaires et des services</v>
      </c>
    </row>
    <row r="89" customFormat="false" ht="13.5" hidden="false" customHeight="true" outlineLevel="0" collapsed="false">
      <c r="A89" s="1" t="str">
        <f aca="false">IF(listes!K88="","",listes!K88)</f>
        <v>MAT087</v>
      </c>
      <c r="B89" s="10" t="str">
        <f aca="false">IF(listes!L88="","",listes!L88)</f>
        <v>agronomie</v>
      </c>
    </row>
    <row r="90" customFormat="false" ht="13.5" hidden="false" customHeight="true" outlineLevel="0" collapsed="false">
      <c r="A90" s="1" t="str">
        <f aca="false">IF(listes!K89="","",listes!K89)</f>
        <v>MAT088</v>
      </c>
      <c r="B90" s="10" t="str">
        <f aca="false">IF(listes!L89="","",listes!L89)</f>
        <v>arts appliqués</v>
      </c>
    </row>
    <row r="91" customFormat="false" ht="13.5" hidden="false" customHeight="true" outlineLevel="0" collapsed="false">
      <c r="A91" s="1" t="str">
        <f aca="false">IF(listes!K90="","",listes!K90)</f>
        <v>MAT089</v>
      </c>
      <c r="B91" s="10" t="str">
        <f aca="false">IF(listes!L90="","",listes!L90)</f>
        <v>prévention santé environnement (PSE)</v>
      </c>
    </row>
    <row r="92" customFormat="false" ht="13.5" hidden="false" customHeight="true" outlineLevel="0" collapsed="false">
      <c r="A92" s="1" t="str">
        <f aca="false">IF(listes!K91="","",listes!K91)</f>
        <v>MAT090</v>
      </c>
      <c r="B92" s="10" t="str">
        <f aca="false">IF(listes!L91="","",listes!L91)</f>
        <v>économie-gestion</v>
      </c>
    </row>
    <row r="93" customFormat="false" ht="13.5" hidden="false" customHeight="true" outlineLevel="0" collapsed="false">
      <c r="A93" s="1" t="str">
        <f aca="false">IF(listes!K92="","",listes!K92)</f>
        <v>MAT091</v>
      </c>
      <c r="B93" s="10" t="str">
        <f aca="false">IF(listes!L92="","",listes!L92)</f>
        <v>enseignement professionnel</v>
      </c>
    </row>
    <row r="94" customFormat="false" ht="13.5" hidden="false" customHeight="true" outlineLevel="0" collapsed="false">
      <c r="A94" s="1" t="str">
        <f aca="false">IF(listes!K93="","",listes!K93)</f>
        <v>MAT092</v>
      </c>
      <c r="B94" s="10" t="str">
        <f aca="false">IF(listes!L93="","",listes!L93)</f>
        <v>économie-droit</v>
      </c>
    </row>
    <row r="95" customFormat="false" ht="13.5" hidden="false" customHeight="true" outlineLevel="0" collapsed="false">
      <c r="A95" s="1" t="str">
        <f aca="false">IF(listes!K94="","",listes!K94)</f>
        <v>MAT093</v>
      </c>
      <c r="B95" s="10" t="str">
        <f aca="false">IF(listes!L94="","",listes!L94)</f>
        <v>économie, sociologie et histoire (ESH)</v>
      </c>
    </row>
    <row r="96" customFormat="false" ht="13.5" hidden="false" customHeight="true" outlineLevel="0" collapsed="false">
      <c r="A96" s="1" t="str">
        <f aca="false">IF(listes!K95="","",listes!K95)</f>
        <v>MAT094</v>
      </c>
      <c r="B96" s="10" t="str">
        <f aca="false">IF(listes!L95="","",listes!L95)</f>
        <v>histoire, géographie et géopolitique (HGG)</v>
      </c>
    </row>
    <row r="97" customFormat="false" ht="13.5" hidden="false" customHeight="true" outlineLevel="0" collapsed="false">
      <c r="A97" s="1" t="str">
        <f aca="false">IF(listes!K96="","",listes!K96)</f>
        <v>MAT095</v>
      </c>
      <c r="B97" s="10" t="str">
        <f aca="false">IF(listes!L96="","",listes!L96)</f>
        <v>droit</v>
      </c>
    </row>
    <row r="98" customFormat="false" ht="13.5" hidden="false" customHeight="true" outlineLevel="0" collapsed="false">
      <c r="A98" s="1" t="str">
        <f aca="false">IF(listes!K97="","",listes!K97)</f>
        <v>MAT096</v>
      </c>
      <c r="B98" s="10" t="str">
        <f aca="false">IF(listes!L97="","",listes!L97)</f>
        <v>droit civil</v>
      </c>
    </row>
    <row r="99" customFormat="false" ht="13.5" hidden="false" customHeight="true" outlineLevel="0" collapsed="false">
      <c r="A99" s="1" t="str">
        <f aca="false">IF(listes!K98="","",listes!K98)</f>
        <v>MAT097</v>
      </c>
      <c r="B99" s="10" t="str">
        <f aca="false">IF(listes!L98="","",listes!L98)</f>
        <v>droit constitutionnel</v>
      </c>
    </row>
    <row r="100" customFormat="false" ht="13.5" hidden="false" customHeight="true" outlineLevel="0" collapsed="false">
      <c r="A100" s="1" t="str">
        <f aca="false">IF(listes!K99="","",listes!K99)</f>
        <v>MAT098</v>
      </c>
      <c r="B100" s="10" t="str">
        <f aca="false">IF(listes!L99="","",listes!L99)</f>
        <v>microéconomie</v>
      </c>
    </row>
    <row r="101" customFormat="false" ht="13.5" hidden="false" customHeight="true" outlineLevel="0" collapsed="false">
      <c r="A101" s="1" t="str">
        <f aca="false">IF(listes!K100="","",listes!K100)</f>
        <v>MAT099</v>
      </c>
      <c r="B101" s="10" t="str">
        <f aca="false">IF(listes!L100="","",listes!L100)</f>
        <v>macroéconomie</v>
      </c>
    </row>
    <row r="102" customFormat="false" ht="13.5" hidden="false" customHeight="true" outlineLevel="0" collapsed="false">
      <c r="A102" s="1" t="str">
        <f aca="false">IF(listes!K101="","",listes!K101)</f>
        <v>MAT100</v>
      </c>
      <c r="B102" s="10" t="str">
        <f aca="false">IF(listes!L101="","",listes!L101)</f>
        <v>gestion</v>
      </c>
    </row>
    <row r="103" customFormat="false" ht="13.5" hidden="false" customHeight="true" outlineLevel="0" collapsed="false">
      <c r="A103" s="1" t="str">
        <f aca="false">IF(listes!K102="","",listes!K102)</f>
        <v>MAT101</v>
      </c>
      <c r="B103" s="10" t="str">
        <f aca="false">IF(listes!L102="","",listes!L102)</f>
        <v>biologie cellulaire</v>
      </c>
    </row>
    <row r="104" customFormat="false" ht="13.5" hidden="false" customHeight="true" outlineLevel="0" collapsed="false">
      <c r="A104" s="1" t="str">
        <f aca="false">IF(listes!K103="","",listes!K103)</f>
        <v>MAT102</v>
      </c>
      <c r="B104" s="10" t="str">
        <f aca="false">IF(listes!L103="","",listes!L103)</f>
        <v>biophysique</v>
      </c>
    </row>
    <row r="105" customFormat="false" ht="13.5" hidden="false" customHeight="true" outlineLevel="0" collapsed="false">
      <c r="A105" s="1" t="str">
        <f aca="false">IF(listes!K104="","",listes!K104)</f>
        <v>MAT103</v>
      </c>
      <c r="B105" s="10" t="str">
        <f aca="false">IF(listes!L104="","",listes!L104)</f>
        <v>physiologie</v>
      </c>
    </row>
    <row r="106" customFormat="false" ht="13.5" hidden="false" customHeight="true" outlineLevel="0" collapsed="false">
      <c r="A106" s="1" t="str">
        <f aca="false">IF(listes!K105="","",listes!K105)</f>
        <v>MAT104</v>
      </c>
      <c r="B106" s="10" t="str">
        <f aca="false">IF(listes!L105="","",listes!L105)</f>
        <v>histologie-embryologie</v>
      </c>
    </row>
    <row r="107" customFormat="false" ht="13.5" hidden="false" customHeight="true" outlineLevel="0" collapsed="false">
      <c r="A107" s="1" t="str">
        <f aca="false">IF(listes!K106="","",listes!K106)</f>
        <v>MAT105</v>
      </c>
      <c r="B107" s="10" t="str">
        <f aca="false">IF(listes!L106="","",listes!L106)</f>
        <v>génétique</v>
      </c>
    </row>
    <row r="108" customFormat="false" ht="13.5" hidden="false" customHeight="true" outlineLevel="0" collapsed="false">
      <c r="A108" s="1" t="str">
        <f aca="false">IF(listes!K107="","",listes!K107)</f>
        <v>MAT106</v>
      </c>
      <c r="B108" s="10" t="str">
        <f aca="false">IF(listes!L107="","",listes!L107)</f>
        <v>statistiques</v>
      </c>
    </row>
    <row r="109" customFormat="false" ht="13.5" hidden="false" customHeight="true" outlineLevel="0" collapsed="false">
      <c r="A109" s="1" t="str">
        <f aca="false">IF(listes!K108="","",listes!K108)</f>
        <v>MAT107</v>
      </c>
      <c r="B109" s="10" t="str">
        <f aca="false">IF(listes!L108="","",listes!L108)</f>
        <v>santé publique</v>
      </c>
    </row>
    <row r="110" customFormat="false" ht="13.5" hidden="false" customHeight="true" outlineLevel="0" collapsed="false">
      <c r="A110" s="1" t="str">
        <f aca="false">IF(listes!K109="","",listes!K109)</f>
        <v>MAT108</v>
      </c>
      <c r="B110" s="10" t="str">
        <f aca="false">IF(listes!L109="","",listes!L109)</f>
        <v>sciences humaines et sociales (santé)</v>
      </c>
    </row>
    <row r="111" customFormat="false" ht="13.5" hidden="false" customHeight="true" outlineLevel="0" collapsed="false">
      <c r="A111" s="1" t="str">
        <f aca="false">IF(listes!K110="","",listes!K110)</f>
        <v>MAT109</v>
      </c>
      <c r="B111" s="10" t="str">
        <f aca="false">IF(listes!L110="","",listes!L110)</f>
        <v>sémiologie</v>
      </c>
    </row>
    <row r="112" customFormat="false" ht="13.5" hidden="false" customHeight="true" outlineLevel="0" collapsed="false">
      <c r="A112" s="1" t="str">
        <f aca="false">IF(listes!K111="","",listes!K111)</f>
        <v>MAT110</v>
      </c>
      <c r="B112" s="10" t="str">
        <f aca="false">IF(listes!L111="","",listes!L111)</f>
        <v>pharmacologie</v>
      </c>
    </row>
    <row r="113" customFormat="false" ht="13.5" hidden="false" customHeight="true" outlineLevel="0" collapsed="false">
      <c r="A113" s="1" t="str">
        <f aca="false">IF(listes!K112="","",listes!K112)</f>
        <v>MAT111</v>
      </c>
      <c r="B113" s="10" t="str">
        <f aca="false">IF(listes!L112="","",listes!L112)</f>
        <v>immunologie</v>
      </c>
    </row>
    <row r="114" customFormat="false" ht="13.5" hidden="false" customHeight="true" outlineLevel="0" collapsed="false">
      <c r="A114" s="1" t="str">
        <f aca="false">IF(listes!K113="","",listes!K113)</f>
        <v>MAT112</v>
      </c>
      <c r="B114" s="10" t="str">
        <f aca="false">IF(listes!L113="","",listes!L113)</f>
        <v>microbiologie</v>
      </c>
    </row>
    <row r="115" customFormat="false" ht="13.5" hidden="false" customHeight="true" outlineLevel="0" collapsed="false">
      <c r="A115" s="1" t="str">
        <f aca="false">IF(listes!K114="","",listes!K114)</f>
        <v>MAT113</v>
      </c>
      <c r="B115" s="10" t="str">
        <f aca="false">IF(listes!L114="","",listes!L114)</f>
        <v>cardiologie</v>
      </c>
    </row>
    <row r="116" customFormat="false" ht="13.5" hidden="false" customHeight="true" outlineLevel="0" collapsed="false">
      <c r="A116" s="1" t="str">
        <f aca="false">IF(listes!K115="","",listes!K115)</f>
        <v>MAT114</v>
      </c>
      <c r="B116" s="10" t="str">
        <f aca="false">IF(listes!L115="","",listes!L115)</f>
        <v>pneumologie</v>
      </c>
    </row>
    <row r="117" customFormat="false" ht="13.5" hidden="false" customHeight="true" outlineLevel="0" collapsed="false">
      <c r="A117" s="1" t="str">
        <f aca="false">IF(listes!K116="","",listes!K116)</f>
        <v>MAT115</v>
      </c>
      <c r="B117" s="10" t="str">
        <f aca="false">IF(listes!L116="","",listes!L116)</f>
        <v>gastro-entérologie</v>
      </c>
    </row>
    <row r="118" customFormat="false" ht="13.5" hidden="false" customHeight="true" outlineLevel="0" collapsed="false">
      <c r="A118" s="1" t="str">
        <f aca="false">IF(listes!K117="","",listes!K117)</f>
        <v>MAT116</v>
      </c>
      <c r="B118" s="10" t="str">
        <f aca="false">IF(listes!L117="","",listes!L117)</f>
        <v>néphrologie</v>
      </c>
    </row>
    <row r="119" customFormat="false" ht="13.5" hidden="false" customHeight="true" outlineLevel="0" collapsed="false">
      <c r="A119" s="1" t="str">
        <f aca="false">IF(listes!K118="","",listes!K118)</f>
        <v>MAT117</v>
      </c>
      <c r="B119" s="10" t="str">
        <f aca="false">IF(listes!L118="","",listes!L118)</f>
        <v>neurologie</v>
      </c>
    </row>
    <row r="120" customFormat="false" ht="13.5" hidden="false" customHeight="true" outlineLevel="0" collapsed="false">
      <c r="A120" s="1" t="str">
        <f aca="false">IF(listes!K119="","",listes!K119)</f>
        <v>MAT118</v>
      </c>
      <c r="B120" s="10" t="str">
        <f aca="false">IF(listes!L119="","",listes!L119)</f>
        <v>psychiatrie</v>
      </c>
    </row>
    <row r="121" customFormat="false" ht="13.5" hidden="false" customHeight="true" outlineLevel="0" collapsed="false">
      <c r="A121" s="1" t="str">
        <f aca="false">IF(listes!K120="","",listes!K120)</f>
        <v>MAT119</v>
      </c>
      <c r="B121" s="10" t="str">
        <f aca="false">IF(listes!L120="","",listes!L120)</f>
        <v>pédiatrie</v>
      </c>
    </row>
    <row r="122" customFormat="false" ht="13.5" hidden="false" customHeight="true" outlineLevel="0" collapsed="false">
      <c r="A122" s="1" t="str">
        <f aca="false">IF(listes!K121="","",listes!K121)</f>
        <v>MAT120</v>
      </c>
      <c r="B122" s="10" t="str">
        <f aca="false">IF(listes!L121="","",listes!L121)</f>
        <v>gynécologie-obstétrique</v>
      </c>
    </row>
    <row r="123" customFormat="false" ht="13.5" hidden="false" customHeight="true" outlineLevel="0" collapsed="false">
      <c r="A123" s="1" t="str">
        <f aca="false">IF(listes!K122="","",listes!K122)</f>
        <v>MAT121</v>
      </c>
      <c r="B123" s="10" t="str">
        <f aca="false">IF(listes!L122="","",listes!L122)</f>
        <v>infectiologie</v>
      </c>
    </row>
    <row r="124" customFormat="false" ht="13.5" hidden="false" customHeight="true" outlineLevel="0" collapsed="false">
      <c r="A124" s="1" t="str">
        <f aca="false">IF(listes!K123="","",listes!K123)</f>
        <v>MAT122</v>
      </c>
      <c r="B124" s="10" t="str">
        <f aca="false">IF(listes!L123="","",listes!L123)</f>
        <v>dermatologie</v>
      </c>
    </row>
    <row r="125" customFormat="false" ht="13.5" hidden="false" customHeight="true" outlineLevel="0" collapsed="false">
      <c r="A125" s="1" t="str">
        <f aca="false">IF(listes!K124="","",listes!K124)</f>
        <v>MAT123</v>
      </c>
      <c r="B125" s="10" t="str">
        <f aca="false">IF(listes!L124="","",listes!L124)</f>
        <v>endocrinologie</v>
      </c>
    </row>
    <row r="126" customFormat="false" ht="13.5" hidden="false" customHeight="true" outlineLevel="0" collapsed="false">
      <c r="A126" s="1" t="str">
        <f aca="false">IF(listes!K125="","",listes!K125)</f>
        <v>MAT124</v>
      </c>
      <c r="B126" s="10" t="str">
        <f aca="false">IF(listes!L125="","",listes!L125)</f>
        <v>hématologie</v>
      </c>
    </row>
    <row r="127" customFormat="false" ht="13.5" hidden="false" customHeight="true" outlineLevel="0" collapsed="false">
      <c r="A127" s="1" t="str">
        <f aca="false">IF(listes!K126="","",listes!K126)</f>
        <v>MAT125</v>
      </c>
      <c r="B127" s="10" t="str">
        <f aca="false">IF(listes!L126="","",listes!L126)</f>
        <v>cancérologie</v>
      </c>
    </row>
    <row r="128" customFormat="false" ht="13.5" hidden="false" customHeight="true" outlineLevel="0" collapsed="false">
      <c r="A128" s="1" t="str">
        <f aca="false">IF(listes!K127="","",listes!K127)</f>
        <v>MAT126</v>
      </c>
      <c r="B128" s="10" t="str">
        <f aca="false">IF(listes!L127="","",listes!L127)</f>
        <v>urgences et réanimation</v>
      </c>
    </row>
    <row r="129" customFormat="false" ht="13.5" hidden="false" customHeight="true" outlineLevel="0" collapsed="false">
      <c r="A129" s="1" t="str">
        <f aca="false">IF(listes!K128="","",listes!K128)</f>
        <v>MAT127</v>
      </c>
      <c r="B129" s="10" t="str">
        <f aca="false">IF(listes!L128="","",listes!L128)</f>
        <v>chirurgie</v>
      </c>
    </row>
    <row r="130" customFormat="false" ht="13.5" hidden="false" customHeight="true" outlineLevel="0" collapsed="false">
      <c r="A130" s="1" t="str">
        <f aca="false">IF(listes!K129="","",listes!K129)</f>
        <v>MAT128</v>
      </c>
      <c r="B130" s="10" t="str">
        <f aca="false">IF(listes!L129="","",listes!L129)</f>
        <v>éthique et législation</v>
      </c>
    </row>
    <row r="131" customFormat="false" ht="13.5" hidden="false" customHeight="true" outlineLevel="0" collapsed="false">
      <c r="A131" s="1" t="str">
        <f aca="false">IF(listes!K130="","",listes!K130)</f>
        <v>MAT129</v>
      </c>
      <c r="B131" s="10" t="str">
        <f aca="false">IF(listes!L130="","",listes!L130)</f>
        <v>chimie organique</v>
      </c>
    </row>
    <row r="132" customFormat="false" ht="13.5" hidden="false" customHeight="true" outlineLevel="0" collapsed="false">
      <c r="A132" s="1" t="str">
        <f aca="false">IF(listes!K131="","",listes!K131)</f>
        <v>MAT130</v>
      </c>
      <c r="B132" s="10" t="str">
        <f aca="false">IF(listes!L131="","",listes!L131)</f>
        <v>chimie analytique</v>
      </c>
    </row>
    <row r="133" customFormat="false" ht="13.5" hidden="false" customHeight="true" outlineLevel="0" collapsed="false">
      <c r="A133" s="1" t="str">
        <f aca="false">IF(listes!K132="","",listes!K132)</f>
        <v>MAT131</v>
      </c>
      <c r="B133" s="10" t="str">
        <f aca="false">IF(listes!L132="","",listes!L132)</f>
        <v>pharmacie galénique</v>
      </c>
    </row>
    <row r="134" customFormat="false" ht="13.5" hidden="false" customHeight="true" outlineLevel="0" collapsed="false">
      <c r="A134" s="1" t="str">
        <f aca="false">IF(listes!K133="","",listes!K133)</f>
        <v>MAT132</v>
      </c>
      <c r="B134" s="10" t="str">
        <f aca="false">IF(listes!L133="","",listes!L133)</f>
        <v>toxicologie</v>
      </c>
    </row>
    <row r="135" customFormat="false" ht="13.5" hidden="false" customHeight="true" outlineLevel="0" collapsed="false">
      <c r="A135" s="1" t="str">
        <f aca="false">IF(listes!K134="","",listes!K134)</f>
        <v>MAT133</v>
      </c>
      <c r="B135" s="10" t="str">
        <f aca="false">IF(listes!L134="","",listes!L134)</f>
        <v>pharmacognosie et botanique</v>
      </c>
    </row>
    <row r="136" customFormat="false" ht="13.5" hidden="false" customHeight="true" outlineLevel="0" collapsed="false">
      <c r="A136" s="1" t="str">
        <f aca="false">IF(listes!K135="","",listes!K135)</f>
        <v>MAT134</v>
      </c>
      <c r="B136" s="10" t="str">
        <f aca="false">IF(listes!L135="","",listes!L135)</f>
        <v>odontologie</v>
      </c>
    </row>
    <row r="137" customFormat="false" ht="13.5" hidden="false" customHeight="true" outlineLevel="0" collapsed="false">
      <c r="A137" s="1" t="str">
        <f aca="false">IF(listes!K136="","",listes!K136)</f>
        <v>MAT135</v>
      </c>
      <c r="B137" s="10" t="str">
        <f aca="false">IF(listes!L136="","",listes!L136)</f>
        <v>biomatériaux</v>
      </c>
    </row>
    <row r="138" customFormat="false" ht="13.5" hidden="false" customHeight="true" outlineLevel="0" collapsed="false">
      <c r="A138" s="1" t="str">
        <f aca="false">IF(listes!K137="","",listes!K137)</f>
        <v>MAT136</v>
      </c>
      <c r="B138" s="10" t="str">
        <f aca="false">IF(listes!L137="","",listes!L137)</f>
        <v>sciences et techniques infirmières</v>
      </c>
    </row>
    <row r="139" customFormat="false" ht="13.5" hidden="false" customHeight="true" outlineLevel="0" collapsed="false">
      <c r="A139" s="1" t="str">
        <f aca="false">IF(listes!K138="","",listes!K138)</f>
        <v>MAT137</v>
      </c>
      <c r="B139" s="10" t="str">
        <f aca="false">IF(listes!L138="","",listes!L138)</f>
        <v>psychologie</v>
      </c>
    </row>
    <row r="140" customFormat="false" ht="13.5" hidden="false" customHeight="true" outlineLevel="0" collapsed="false">
      <c r="A140" s="1" t="str">
        <f aca="false">IF(listes!K139="","",listes!K139)</f>
        <v>MAT138</v>
      </c>
      <c r="B140" s="10" t="str">
        <f aca="false">IF(listes!L139="","",listes!L139)</f>
        <v>biomécanique</v>
      </c>
    </row>
    <row r="141" customFormat="false" ht="13.5" hidden="false" customHeight="true" outlineLevel="0" collapsed="false">
      <c r="A141" s="1" t="str">
        <f aca="false">IF(listes!K140="","",listes!K140)</f>
        <v>MAT139</v>
      </c>
      <c r="B141" s="10" t="str">
        <f aca="false">IF(listes!L140="","",listes!L140)</f>
        <v>techniques de rééducation</v>
      </c>
    </row>
    <row r="142" customFormat="false" ht="13.5" hidden="false" customHeight="true" outlineLevel="0" collapsed="false">
      <c r="A142" s="1" t="str">
        <f aca="false">IF(listes!K141="","",listes!K141)</f>
        <v>MAT140</v>
      </c>
      <c r="B142" s="10" t="str">
        <f aca="false">IF(listes!L141="","",listes!L141)</f>
        <v>zootechnie</v>
      </c>
    </row>
    <row r="143" customFormat="false" ht="13.5" hidden="false" customHeight="true" outlineLevel="0" collapsed="false">
      <c r="A143" s="1" t="str">
        <f aca="false">IF(listes!K142="","",listes!K142)</f>
        <v>MAT141</v>
      </c>
      <c r="B143" s="10" t="str">
        <f aca="false">IF(listes!L142="","",listes!L142)</f>
        <v>pathologie animale</v>
      </c>
    </row>
    <row r="144" customFormat="false" ht="13.5" hidden="false" customHeight="true" outlineLevel="0" collapsed="false">
      <c r="A144" s="1" t="str">
        <f aca="false">IF(listes!K143="","",listes!K143)</f>
        <v>MAT142</v>
      </c>
      <c r="B144" s="10" t="str">
        <f aca="false">IF(listes!L143="","",listes!L143)</f>
        <v>politiques sociales</v>
      </c>
    </row>
    <row r="145" customFormat="false" ht="13.5" hidden="false" customHeight="true" outlineLevel="0" collapsed="false">
      <c r="A145" s="1" t="str">
        <f aca="false">IF(listes!K144="","",listes!K144)</f>
        <v>MAT143</v>
      </c>
      <c r="B145" s="10" t="str">
        <f aca="false">IF(listes!L144="","",listes!L144)</f>
        <v>méthodologie d'intervention sociale</v>
      </c>
    </row>
    <row r="146" customFormat="false" ht="13.5" hidden="false" customHeight="true" outlineLevel="0" collapsed="false">
      <c r="A146" s="1" t="str">
        <f aca="false">IF(listes!K145="","",listes!K145)</f>
        <v>MAT144</v>
      </c>
      <c r="B146" s="10" t="str">
        <f aca="false">IF(listes!L145="","",listes!L145)</f>
        <v>algèbre</v>
      </c>
    </row>
    <row r="147" customFormat="false" ht="13.5" hidden="false" customHeight="true" outlineLevel="0" collapsed="false">
      <c r="A147" s="1" t="str">
        <f aca="false">IF(listes!K146="","",listes!K146)</f>
        <v>MAT145</v>
      </c>
      <c r="B147" s="10" t="str">
        <f aca="false">IF(listes!L146="","",listes!L146)</f>
        <v>analyse</v>
      </c>
    </row>
    <row r="148" customFormat="false" ht="13.5" hidden="false" customHeight="true" outlineLevel="0" collapsed="false">
      <c r="A148" s="1" t="str">
        <f aca="false">IF(listes!K147="","",listes!K147)</f>
        <v>MAT146</v>
      </c>
      <c r="B148" s="10" t="str">
        <f aca="false">IF(listes!L147="","",listes!L147)</f>
        <v>géométrie</v>
      </c>
    </row>
    <row r="149" customFormat="false" ht="13.5" hidden="false" customHeight="true" outlineLevel="0" collapsed="false">
      <c r="A149" s="1" t="str">
        <f aca="false">IF(listes!K148="","",listes!K148)</f>
        <v>MAT147</v>
      </c>
      <c r="B149" s="10" t="str">
        <f aca="false">IF(listes!L148="","",listes!L148)</f>
        <v>probabilités</v>
      </c>
    </row>
    <row r="150" customFormat="false" ht="13.5" hidden="false" customHeight="true" outlineLevel="0" collapsed="false">
      <c r="A150" s="1" t="str">
        <f aca="false">IF(listes!K149="","",listes!K149)</f>
        <v>MAT148</v>
      </c>
      <c r="B150" s="10" t="str">
        <f aca="false">IF(listes!L149="","",listes!L149)</f>
        <v>algorithmique et programmation</v>
      </c>
    </row>
    <row r="151" customFormat="false" ht="13.5" hidden="false" customHeight="true" outlineLevel="0" collapsed="false">
      <c r="A151" s="1" t="str">
        <f aca="false">IF(listes!K150="","",listes!K150)</f>
        <v>MAT149</v>
      </c>
      <c r="B151" s="10" t="str">
        <f aca="false">IF(listes!L150="","",listes!L150)</f>
        <v>bases de données</v>
      </c>
    </row>
    <row r="152" customFormat="false" ht="13.5" hidden="false" customHeight="true" outlineLevel="0" collapsed="false">
      <c r="A152" s="1" t="str">
        <f aca="false">IF(listes!K151="","",listes!K151)</f>
        <v>MAT150</v>
      </c>
      <c r="B152" s="10" t="str">
        <f aca="false">IF(listes!L151="","",listes!L151)</f>
        <v>réseaux</v>
      </c>
    </row>
    <row r="153" customFormat="false" ht="13.5" hidden="false" customHeight="true" outlineLevel="0" collapsed="false">
      <c r="A153" s="1" t="str">
        <f aca="false">IF(listes!K152="","",listes!K152)</f>
        <v>MAT151</v>
      </c>
      <c r="B153" s="10" t="str">
        <f aca="false">IF(listes!L152="","",listes!L152)</f>
        <v>systèmes d'exploitation</v>
      </c>
    </row>
    <row r="154" customFormat="false" ht="13.5" hidden="false" customHeight="true" outlineLevel="0" collapsed="false">
      <c r="A154" s="1" t="str">
        <f aca="false">IF(listes!K153="","",listes!K153)</f>
        <v>MAT152</v>
      </c>
      <c r="B154" s="10" t="str">
        <f aca="false">IF(listes!L153="","",listes!L153)</f>
        <v>génie logiciel</v>
      </c>
    </row>
    <row r="155" customFormat="false" ht="13.5" hidden="false" customHeight="true" outlineLevel="0" collapsed="false">
      <c r="A155" s="1" t="str">
        <f aca="false">IF(listes!K154="","",listes!K154)</f>
        <v>MAT153</v>
      </c>
      <c r="B155" s="10" t="str">
        <f aca="false">IF(listes!L154="","",listes!L154)</f>
        <v>développement web</v>
      </c>
    </row>
    <row r="156" customFormat="false" ht="13.5" hidden="false" customHeight="true" outlineLevel="0" collapsed="false">
      <c r="A156" s="1" t="str">
        <f aca="false">IF(listes!K155="","",listes!K155)</f>
        <v>MAT154</v>
      </c>
      <c r="B156" s="10" t="str">
        <f aca="false">IF(listes!L155="","",listes!L155)</f>
        <v>cybersécurité</v>
      </c>
    </row>
    <row r="157" customFormat="false" ht="13.5" hidden="false" customHeight="true" outlineLevel="0" collapsed="false">
      <c r="A157" s="1" t="str">
        <f aca="false">IF(listes!K156="","",listes!K156)</f>
        <v>MAT155</v>
      </c>
      <c r="B157" s="10" t="str">
        <f aca="false">IF(listes!L156="","",listes!L156)</f>
        <v>intelligence artificielle</v>
      </c>
    </row>
    <row r="158" customFormat="false" ht="13.5" hidden="false" customHeight="true" outlineLevel="0" collapsed="false">
      <c r="A158" s="1" t="str">
        <f aca="false">IF(listes!K157="","",listes!K157)</f>
        <v>MAT156</v>
      </c>
      <c r="B158" s="10" t="str">
        <f aca="false">IF(listes!L157="","",listes!L157)</f>
        <v>mécanique</v>
      </c>
    </row>
    <row r="159" customFormat="false" ht="13.5" hidden="false" customHeight="true" outlineLevel="0" collapsed="false">
      <c r="A159" s="1" t="str">
        <f aca="false">IF(listes!K158="","",listes!K158)</f>
        <v>MAT157</v>
      </c>
      <c r="B159" s="10" t="str">
        <f aca="false">IF(listes!L158="","",listes!L158)</f>
        <v>thermodynamique</v>
      </c>
    </row>
    <row r="160" customFormat="false" ht="13.5" hidden="false" customHeight="true" outlineLevel="0" collapsed="false">
      <c r="A160" s="1" t="str">
        <f aca="false">IF(listes!K159="","",listes!K159)</f>
        <v>MAT158</v>
      </c>
      <c r="B160" s="10" t="str">
        <f aca="false">IF(listes!L159="","",listes!L159)</f>
        <v>électromagnétisme</v>
      </c>
    </row>
    <row r="161" customFormat="false" ht="13.5" hidden="false" customHeight="true" outlineLevel="0" collapsed="false">
      <c r="A161" s="1" t="str">
        <f aca="false">IF(listes!K160="","",listes!K160)</f>
        <v>MAT159</v>
      </c>
      <c r="B161" s="10" t="str">
        <f aca="false">IF(listes!L160="","",listes!L160)</f>
        <v>optique</v>
      </c>
    </row>
    <row r="162" customFormat="false" ht="13.5" hidden="false" customHeight="true" outlineLevel="0" collapsed="false">
      <c r="A162" s="1" t="str">
        <f aca="false">IF(listes!K161="","",listes!K161)</f>
        <v>MAT160</v>
      </c>
      <c r="B162" s="10" t="str">
        <f aca="false">IF(listes!L161="","",listes!L161)</f>
        <v>physique quantique</v>
      </c>
    </row>
    <row r="163" customFormat="false" ht="13.5" hidden="false" customHeight="true" outlineLevel="0" collapsed="false">
      <c r="A163" s="1" t="str">
        <f aca="false">IF(listes!K162="","",listes!K162)</f>
        <v>MAT161</v>
      </c>
      <c r="B163" s="10" t="str">
        <f aca="false">IF(listes!L162="","",listes!L162)</f>
        <v>chimie inorganique</v>
      </c>
    </row>
    <row r="164" customFormat="false" ht="13.5" hidden="false" customHeight="true" outlineLevel="0" collapsed="false">
      <c r="A164" s="1" t="str">
        <f aca="false">IF(listes!K163="","",listes!K163)</f>
        <v>MAT162</v>
      </c>
      <c r="B164" s="10" t="str">
        <f aca="false">IF(listes!L163="","",listes!L163)</f>
        <v>écologie</v>
      </c>
    </row>
    <row r="165" customFormat="false" ht="13.5" hidden="false" customHeight="true" outlineLevel="0" collapsed="false">
      <c r="A165" s="1" t="str">
        <f aca="false">IF(listes!K164="","",listes!K164)</f>
        <v>MAT163</v>
      </c>
      <c r="B165" s="10" t="str">
        <f aca="false">IF(listes!L164="","",listes!L164)</f>
        <v>climatologie</v>
      </c>
    </row>
    <row r="166" customFormat="false" ht="13.5" hidden="false" customHeight="true" outlineLevel="0" collapsed="false">
      <c r="A166" s="1" t="str">
        <f aca="false">IF(listes!K165="","",listes!K165)</f>
        <v>MAT164</v>
      </c>
      <c r="B166" s="10" t="str">
        <f aca="false">IF(listes!L165="","",listes!L165)</f>
        <v>cartographie et SIG</v>
      </c>
    </row>
    <row r="167" customFormat="false" ht="13.5" hidden="false" customHeight="true" outlineLevel="0" collapsed="false">
      <c r="A167" s="1" t="str">
        <f aca="false">IF(listes!K166="","",listes!K166)</f>
        <v>MAT165</v>
      </c>
      <c r="B167" s="10" t="str">
        <f aca="false">IF(listes!L166="","",listes!L166)</f>
        <v>résistance des matériaux</v>
      </c>
    </row>
    <row r="168" customFormat="false" ht="13.5" hidden="false" customHeight="true" outlineLevel="0" collapsed="false">
      <c r="A168" s="1" t="str">
        <f aca="false">IF(listes!K167="","",listes!K167)</f>
        <v>MAT166</v>
      </c>
      <c r="B168" s="10" t="str">
        <f aca="false">IF(listes!L167="","",listes!L167)</f>
        <v>sciences des matériaux</v>
      </c>
    </row>
    <row r="169" customFormat="false" ht="13.5" hidden="false" customHeight="true" outlineLevel="0" collapsed="false">
      <c r="A169" s="1" t="str">
        <f aca="false">IF(listes!K168="","",listes!K168)</f>
        <v>MAT167</v>
      </c>
      <c r="B169" s="10" t="str">
        <f aca="false">IF(listes!L168="","",listes!L168)</f>
        <v>conception et CAO</v>
      </c>
    </row>
    <row r="170" customFormat="false" ht="13.5" hidden="false" customHeight="true" outlineLevel="0" collapsed="false">
      <c r="A170" s="1" t="str">
        <f aca="false">IF(listes!K169="","",listes!K169)</f>
        <v>MAT168</v>
      </c>
      <c r="B170" s="10" t="str">
        <f aca="false">IF(listes!L169="","",listes!L169)</f>
        <v>production et fabrication</v>
      </c>
    </row>
    <row r="171" customFormat="false" ht="13.5" hidden="false" customHeight="true" outlineLevel="0" collapsed="false">
      <c r="A171" s="1" t="str">
        <f aca="false">IF(listes!K170="","",listes!K170)</f>
        <v>MAT169</v>
      </c>
      <c r="B171" s="10" t="str">
        <f aca="false">IF(listes!L170="","",listes!L170)</f>
        <v>électronique</v>
      </c>
    </row>
    <row r="172" customFormat="false" ht="13.5" hidden="false" customHeight="true" outlineLevel="0" collapsed="false">
      <c r="A172" s="1" t="str">
        <f aca="false">IF(listes!K171="","",listes!K171)</f>
        <v>MAT170</v>
      </c>
      <c r="B172" s="10" t="str">
        <f aca="false">IF(listes!L171="","",listes!L171)</f>
        <v>électrotechnique</v>
      </c>
    </row>
    <row r="173" customFormat="false" ht="13.5" hidden="false" customHeight="true" outlineLevel="0" collapsed="false">
      <c r="A173" s="1" t="str">
        <f aca="false">IF(listes!K172="","",listes!K172)</f>
        <v>MAT171</v>
      </c>
      <c r="B173" s="10" t="str">
        <f aca="false">IF(listes!L172="","",listes!L172)</f>
        <v>automatique</v>
      </c>
    </row>
    <row r="174" customFormat="false" ht="13.5" hidden="false" customHeight="true" outlineLevel="0" collapsed="false">
      <c r="A174" s="1" t="str">
        <f aca="false">IF(listes!K173="","",listes!K173)</f>
        <v>MAT172</v>
      </c>
      <c r="B174" s="10" t="str">
        <f aca="false">IF(listes!L173="","",listes!L173)</f>
        <v>géotechnique</v>
      </c>
    </row>
    <row r="175" customFormat="false" ht="13.5" hidden="false" customHeight="true" outlineLevel="0" collapsed="false">
      <c r="A175" s="1" t="str">
        <f aca="false">IF(listes!K174="","",listes!K174)</f>
        <v>MAT173</v>
      </c>
      <c r="B175" s="10" t="str">
        <f aca="false">IF(listes!L174="","",listes!L174)</f>
        <v>topographie</v>
      </c>
    </row>
    <row r="176" customFormat="false" ht="13.5" hidden="false" customHeight="true" outlineLevel="0" collapsed="false">
      <c r="A176" s="1" t="str">
        <f aca="false">IF(listes!K175="","",listes!K175)</f>
        <v>MAT174</v>
      </c>
      <c r="B176" s="10" t="str">
        <f aca="false">IF(listes!L175="","",listes!L175)</f>
        <v>économie de la construction</v>
      </c>
    </row>
    <row r="177" customFormat="false" ht="13.5" hidden="false" customHeight="true" outlineLevel="0" collapsed="false">
      <c r="A177" s="1" t="str">
        <f aca="false">IF(listes!K176="","",listes!K176)</f>
        <v>MAT175</v>
      </c>
      <c r="B177" s="10" t="str">
        <f aca="false">IF(listes!L176="","",listes!L176)</f>
        <v>génie des procédés</v>
      </c>
    </row>
    <row r="178" customFormat="false" ht="13.5" hidden="false" customHeight="true" outlineLevel="0" collapsed="false">
      <c r="A178" s="1" t="str">
        <f aca="false">IF(listes!K177="","",listes!K177)</f>
        <v>MAT176</v>
      </c>
      <c r="B178" s="10" t="str">
        <f aca="false">IF(listes!L177="","",listes!L177)</f>
        <v>gestion de projet</v>
      </c>
    </row>
    <row r="179" customFormat="false" ht="13.5" hidden="false" customHeight="true" outlineLevel="0" collapsed="false">
      <c r="A179" s="1" t="str">
        <f aca="false">IF(listes!K178="","",listes!K178)</f>
        <v>MAT177</v>
      </c>
      <c r="B179" s="10" t="str">
        <f aca="false">IF(listes!L178="","",listes!L178)</f>
        <v>sciences des aliments</v>
      </c>
    </row>
    <row r="180" customFormat="false" ht="13.5" hidden="false" customHeight="true" outlineLevel="0" collapsed="false">
      <c r="A180" s="1" t="str">
        <f aca="false">IF(listes!K179="","",listes!K179)</f>
        <v>MAT178</v>
      </c>
      <c r="B180" s="10" t="str">
        <f aca="false">IF(listes!L179="","",listes!L179)</f>
        <v>droit administratif</v>
      </c>
    </row>
    <row r="181" customFormat="false" ht="13.5" hidden="false" customHeight="true" outlineLevel="0" collapsed="false">
      <c r="A181" s="1" t="str">
        <f aca="false">IF(listes!K180="","",listes!K180)</f>
        <v>MAT179</v>
      </c>
      <c r="B181" s="10" t="str">
        <f aca="false">IF(listes!L180="","",listes!L180)</f>
        <v>droit pénal</v>
      </c>
    </row>
    <row r="182" customFormat="false" ht="13.5" hidden="false" customHeight="true" outlineLevel="0" collapsed="false">
      <c r="A182" s="1" t="str">
        <f aca="false">IF(listes!K181="","",listes!K181)</f>
        <v>MAT180</v>
      </c>
      <c r="B182" s="10" t="str">
        <f aca="false">IF(listes!L181="","",listes!L181)</f>
        <v>droit des affaires</v>
      </c>
    </row>
    <row r="183" customFormat="false" ht="13.5" hidden="false" customHeight="true" outlineLevel="0" collapsed="false">
      <c r="A183" s="1" t="str">
        <f aca="false">IF(listes!K182="","",listes!K182)</f>
        <v>MAT181</v>
      </c>
      <c r="B183" s="10" t="str">
        <f aca="false">IF(listes!L182="","",listes!L182)</f>
        <v>droit du travail</v>
      </c>
    </row>
    <row r="184" customFormat="false" ht="13.5" hidden="false" customHeight="true" outlineLevel="0" collapsed="false">
      <c r="A184" s="1" t="str">
        <f aca="false">IF(listes!K183="","",listes!K183)</f>
        <v>MAT182</v>
      </c>
      <c r="B184" s="10" t="str">
        <f aca="false">IF(listes!L183="","",listes!L183)</f>
        <v>droit international</v>
      </c>
    </row>
    <row r="185" customFormat="false" ht="13.5" hidden="false" customHeight="true" outlineLevel="0" collapsed="false">
      <c r="A185" s="1" t="str">
        <f aca="false">IF(listes!K184="","",listes!K184)</f>
        <v>MAT183</v>
      </c>
      <c r="B185" s="10" t="str">
        <f aca="false">IF(listes!L184="","",listes!L184)</f>
        <v>droit européen</v>
      </c>
    </row>
    <row r="186" customFormat="false" ht="13.5" hidden="false" customHeight="true" outlineLevel="0" collapsed="false">
      <c r="A186" s="1" t="str">
        <f aca="false">IF(listes!K185="","",listes!K185)</f>
        <v>MAT184</v>
      </c>
      <c r="B186" s="10" t="str">
        <f aca="false">IF(listes!L185="","",listes!L185)</f>
        <v>histoire du droit</v>
      </c>
    </row>
    <row r="187" customFormat="false" ht="13.5" hidden="false" customHeight="true" outlineLevel="0" collapsed="false">
      <c r="A187" s="1" t="str">
        <f aca="false">IF(listes!K186="","",listes!K186)</f>
        <v>MAT185</v>
      </c>
      <c r="B187" s="10" t="str">
        <f aca="false">IF(listes!L186="","",listes!L186)</f>
        <v>science politique</v>
      </c>
    </row>
    <row r="188" customFormat="false" ht="13.5" hidden="false" customHeight="true" outlineLevel="0" collapsed="false">
      <c r="A188" s="1" t="str">
        <f aca="false">IF(listes!K187="","",listes!K187)</f>
        <v>MAT186</v>
      </c>
      <c r="B188" s="10" t="str">
        <f aca="false">IF(listes!L187="","",listes!L187)</f>
        <v>relations internationales</v>
      </c>
    </row>
    <row r="189" customFormat="false" ht="13.5" hidden="false" customHeight="true" outlineLevel="0" collapsed="false">
      <c r="A189" s="1" t="str">
        <f aca="false">IF(listes!K188="","",listes!K188)</f>
        <v>MAT187</v>
      </c>
      <c r="B189" s="10" t="str">
        <f aca="false">IF(listes!L188="","",listes!L188)</f>
        <v>économétrie</v>
      </c>
    </row>
    <row r="190" customFormat="false" ht="13.5" hidden="false" customHeight="true" outlineLevel="0" collapsed="false">
      <c r="A190" s="1" t="str">
        <f aca="false">IF(listes!K189="","",listes!K189)</f>
        <v>MAT188</v>
      </c>
      <c r="B190" s="10" t="str">
        <f aca="false">IF(listes!L189="","",listes!L189)</f>
        <v>histoire économique</v>
      </c>
    </row>
    <row r="191" customFormat="false" ht="13.5" hidden="false" customHeight="true" outlineLevel="0" collapsed="false">
      <c r="A191" s="1" t="str">
        <f aca="false">IF(listes!K190="","",listes!K190)</f>
        <v>MAT189</v>
      </c>
      <c r="B191" s="10" t="str">
        <f aca="false">IF(listes!L190="","",listes!L190)</f>
        <v>culture générale et expression</v>
      </c>
    </row>
    <row r="192" customFormat="false" ht="13.5" hidden="false" customHeight="true" outlineLevel="0" collapsed="false">
      <c r="A192" s="1" t="str">
        <f aca="false">IF(listes!K191="","",listes!K191)</f>
        <v>MAT190</v>
      </c>
      <c r="B192" s="10" t="str">
        <f aca="false">IF(listes!L191="","",listes!L191)</f>
        <v>CEJM (culture éco., juridique et managériale)</v>
      </c>
    </row>
    <row r="193" customFormat="false" ht="13.5" hidden="false" customHeight="true" outlineLevel="0" collapsed="false">
      <c r="A193" s="1" t="str">
        <f aca="false">IF(listes!K192="","",listes!K192)</f>
        <v>MAT191</v>
      </c>
      <c r="B193" s="10" t="str">
        <f aca="false">IF(listes!L192="","",listes!L192)</f>
        <v>comptabilité</v>
      </c>
    </row>
    <row r="194" customFormat="false" ht="13.5" hidden="false" customHeight="true" outlineLevel="0" collapsed="false">
      <c r="A194" s="1" t="str">
        <f aca="false">IF(listes!K193="","",listes!K193)</f>
        <v>MAT192</v>
      </c>
      <c r="B194" s="10" t="str">
        <f aca="false">IF(listes!L193="","",listes!L193)</f>
        <v>marketing</v>
      </c>
    </row>
    <row r="195" customFormat="false" ht="13.5" hidden="false" customHeight="true" outlineLevel="0" collapsed="false">
      <c r="A195" s="1" t="str">
        <f aca="false">IF(listes!K194="","",listes!K194)</f>
        <v>MAT193</v>
      </c>
      <c r="B195" s="10" t="str">
        <f aca="false">IF(listes!L194="","",listes!L194)</f>
        <v>contrôle de gestion</v>
      </c>
    </row>
    <row r="196" customFormat="false" ht="13.5" hidden="false" customHeight="true" outlineLevel="0" collapsed="false">
      <c r="A196" s="1" t="str">
        <f aca="false">IF(listes!K195="","",listes!K195)</f>
        <v>MAT194</v>
      </c>
      <c r="B196" s="10" t="str">
        <f aca="false">IF(listes!L195="","",listes!L195)</f>
        <v>finance</v>
      </c>
    </row>
    <row r="197" customFormat="false" ht="13.5" hidden="false" customHeight="true" outlineLevel="0" collapsed="false">
      <c r="A197" s="1" t="str">
        <f aca="false">IF(listes!K196="","",listes!K196)</f>
        <v>MAT195</v>
      </c>
      <c r="B197" s="10" t="str">
        <f aca="false">IF(listes!L196="","",listes!L196)</f>
        <v>fiscalité</v>
      </c>
    </row>
    <row r="198" customFormat="false" ht="13.5" hidden="false" customHeight="true" outlineLevel="0" collapsed="false">
      <c r="A198" s="1" t="str">
        <f aca="false">IF(listes!K197="","",listes!K197)</f>
        <v>MAT196</v>
      </c>
      <c r="B198" s="10" t="str">
        <f aca="false">IF(listes!L197="","",listes!L197)</f>
        <v>audit</v>
      </c>
    </row>
    <row r="199" customFormat="false" ht="13.5" hidden="false" customHeight="true" outlineLevel="0" collapsed="false">
      <c r="A199" s="1" t="str">
        <f aca="false">IF(listes!K198="","",listes!K198)</f>
        <v>MAT197</v>
      </c>
      <c r="B199" s="10" t="str">
        <f aca="false">IF(listes!L198="","",listes!L198)</f>
        <v>négociation et relation client</v>
      </c>
    </row>
    <row r="200" customFormat="false" ht="13.5" hidden="false" customHeight="true" outlineLevel="0" collapsed="false">
      <c r="A200" s="1" t="str">
        <f aca="false">IF(listes!K199="","",listes!K199)</f>
        <v>MAT198</v>
      </c>
      <c r="B200" s="10" t="str">
        <f aca="false">IF(listes!L199="","",listes!L199)</f>
        <v>communication</v>
      </c>
    </row>
    <row r="201" customFormat="false" ht="13.5" hidden="false" customHeight="true" outlineLevel="0" collapsed="false">
      <c r="A201" s="1" t="str">
        <f aca="false">IF(listes!K200="","",listes!K200)</f>
        <v>MAT199</v>
      </c>
      <c r="B201" s="10" t="str">
        <f aca="false">IF(listes!L200="","",listes!L200)</f>
        <v>commerce international</v>
      </c>
    </row>
    <row r="202" customFormat="false" ht="13.5" hidden="false" customHeight="true" outlineLevel="0" collapsed="false">
      <c r="A202" s="1" t="str">
        <f aca="false">IF(listes!K201="","",listes!K201)</f>
        <v>MAT200</v>
      </c>
      <c r="B202" s="10" t="str">
        <f aca="false">IF(listes!L201="","",listes!L201)</f>
        <v>logistique</v>
      </c>
    </row>
    <row r="203" customFormat="false" ht="13.5" hidden="false" customHeight="true" outlineLevel="0" collapsed="false">
      <c r="A203" s="1" t="str">
        <f aca="false">IF(listes!K202="","",listes!K202)</f>
        <v>MAT201</v>
      </c>
      <c r="B203" s="10" t="str">
        <f aca="false">IF(listes!L202="","",listes!L202)</f>
        <v>gestion des ressources humaines</v>
      </c>
    </row>
    <row r="204" customFormat="false" ht="13.5" hidden="false" customHeight="true" outlineLevel="0" collapsed="false">
      <c r="A204" s="1" t="str">
        <f aca="false">IF(listes!K203="","",listes!K203)</f>
        <v>MAT202</v>
      </c>
      <c r="B204" s="10" t="str">
        <f aca="false">IF(listes!L203="","",listes!L203)</f>
        <v>tourisme</v>
      </c>
    </row>
    <row r="205" customFormat="false" ht="13.5" hidden="false" customHeight="true" outlineLevel="0" collapsed="false">
      <c r="A205" s="1" t="str">
        <f aca="false">IF(listes!K204="","",listes!K204)</f>
        <v>MAT203</v>
      </c>
      <c r="B205" s="10" t="str">
        <f aca="false">IF(listes!L204="","",listes!L204)</f>
        <v>techniques journalistiques</v>
      </c>
    </row>
    <row r="206" customFormat="false" ht="13.5" hidden="false" customHeight="true" outlineLevel="0" collapsed="false">
      <c r="A206" s="1" t="str">
        <f aca="false">IF(listes!K205="","",listes!K205)</f>
        <v>MAT204</v>
      </c>
      <c r="B206" s="10" t="str">
        <f aca="false">IF(listes!L205="","",listes!L205)</f>
        <v>littérature étrangère</v>
      </c>
    </row>
    <row r="207" customFormat="false" ht="13.5" hidden="false" customHeight="true" outlineLevel="0" collapsed="false">
      <c r="A207" s="1" t="str">
        <f aca="false">IF(listes!K206="","",listes!K206)</f>
        <v>MAT205</v>
      </c>
      <c r="B207" s="10" t="str">
        <f aca="false">IF(listes!L206="","",listes!L206)</f>
        <v>civilisation</v>
      </c>
    </row>
    <row r="208" customFormat="false" ht="13.5" hidden="false" customHeight="true" outlineLevel="0" collapsed="false">
      <c r="A208" s="1" t="str">
        <f aca="false">IF(listes!K207="","",listes!K207)</f>
        <v>MAT206</v>
      </c>
      <c r="B208" s="10" t="str">
        <f aca="false">IF(listes!L207="","",listes!L207)</f>
        <v>traduction</v>
      </c>
    </row>
    <row r="209" customFormat="false" ht="13.5" hidden="false" customHeight="true" outlineLevel="0" collapsed="false">
      <c r="A209" s="1" t="str">
        <f aca="false">IF(listes!K208="","",listes!K208)</f>
        <v>MAT207</v>
      </c>
      <c r="B209" s="10" t="str">
        <f aca="false">IF(listes!L208="","",listes!L208)</f>
        <v>histoire ancienne</v>
      </c>
    </row>
    <row r="210" customFormat="false" ht="13.5" hidden="false" customHeight="true" outlineLevel="0" collapsed="false">
      <c r="A210" s="1" t="str">
        <f aca="false">IF(listes!K209="","",listes!K209)</f>
        <v>MAT208</v>
      </c>
      <c r="B210" s="10" t="str">
        <f aca="false">IF(listes!L209="","",listes!L209)</f>
        <v>histoire médiévale</v>
      </c>
    </row>
    <row r="211" customFormat="false" ht="13.5" hidden="false" customHeight="true" outlineLevel="0" collapsed="false">
      <c r="A211" s="1" t="str">
        <f aca="false">IF(listes!K210="","",listes!K210)</f>
        <v>MAT209</v>
      </c>
      <c r="B211" s="10" t="str">
        <f aca="false">IF(listes!L210="","",listes!L210)</f>
        <v>histoire moderne</v>
      </c>
    </row>
    <row r="212" customFormat="false" ht="13.5" hidden="false" customHeight="true" outlineLevel="0" collapsed="false">
      <c r="A212" s="1" t="str">
        <f aca="false">IF(listes!K211="","",listes!K211)</f>
        <v>MAT210</v>
      </c>
      <c r="B212" s="10" t="str">
        <f aca="false">IF(listes!L211="","",listes!L211)</f>
        <v>histoire contemporaine</v>
      </c>
    </row>
    <row r="213" customFormat="false" ht="13.5" hidden="false" customHeight="true" outlineLevel="0" collapsed="false">
      <c r="A213" s="1" t="str">
        <f aca="false">IF(listes!K212="","",listes!K212)</f>
        <v>MAT211</v>
      </c>
      <c r="B213" s="10" t="str">
        <f aca="false">IF(listes!L212="","",listes!L212)</f>
        <v>aménagement du territoire</v>
      </c>
    </row>
    <row r="214" customFormat="false" ht="13.5" hidden="false" customHeight="true" outlineLevel="0" collapsed="false">
      <c r="A214" s="1" t="str">
        <f aca="false">IF(listes!K213="","",listes!K213)</f>
        <v>MAT212</v>
      </c>
      <c r="B214" s="10" t="str">
        <f aca="false">IF(listes!L213="","",listes!L213)</f>
        <v>histoire de la philosophie</v>
      </c>
    </row>
    <row r="215" customFormat="false" ht="13.5" hidden="false" customHeight="true" outlineLevel="0" collapsed="false">
      <c r="A215" s="1" t="str">
        <f aca="false">IF(listes!K214="","",listes!K214)</f>
        <v>MAT213</v>
      </c>
      <c r="B215" s="10" t="str">
        <f aca="false">IF(listes!L214="","",listes!L214)</f>
        <v>logique</v>
      </c>
    </row>
    <row r="216" customFormat="false" ht="13.5" hidden="false" customHeight="true" outlineLevel="0" collapsed="false">
      <c r="A216" s="1" t="str">
        <f aca="false">IF(listes!K215="","",listes!K215)</f>
        <v>MAT214</v>
      </c>
      <c r="B216" s="10" t="str">
        <f aca="false">IF(listes!L215="","",listes!L215)</f>
        <v>anthropologie</v>
      </c>
    </row>
    <row r="217" customFormat="false" ht="13.5" hidden="false" customHeight="true" outlineLevel="0" collapsed="false">
      <c r="A217" s="1" t="str">
        <f aca="false">IF(listes!K216="","",listes!K216)</f>
        <v>MAT215</v>
      </c>
      <c r="B217" s="10" t="str">
        <f aca="false">IF(listes!L216="","",listes!L216)</f>
        <v>méthodes d'enquête</v>
      </c>
    </row>
    <row r="218" customFormat="false" ht="13.5" hidden="false" customHeight="true" outlineLevel="0" collapsed="false">
      <c r="A218" s="1" t="str">
        <f aca="false">IF(listes!K217="","",listes!K217)</f>
        <v>MAT216</v>
      </c>
      <c r="B218" s="10" t="str">
        <f aca="false">IF(listes!L217="","",listes!L217)</f>
        <v>psychologie cognitive</v>
      </c>
    </row>
    <row r="219" customFormat="false" ht="13.5" hidden="false" customHeight="true" outlineLevel="0" collapsed="false">
      <c r="A219" s="1" t="str">
        <f aca="false">IF(listes!K218="","",listes!K218)</f>
        <v>MAT217</v>
      </c>
      <c r="B219" s="10" t="str">
        <f aca="false">IF(listes!L218="","",listes!L218)</f>
        <v>psychologie du développement</v>
      </c>
    </row>
    <row r="220" customFormat="false" ht="13.5" hidden="false" customHeight="true" outlineLevel="0" collapsed="false">
      <c r="A220" s="1" t="str">
        <f aca="false">IF(listes!K219="","",listes!K219)</f>
        <v>MAT218</v>
      </c>
      <c r="B220" s="10" t="str">
        <f aca="false">IF(listes!L219="","",listes!L219)</f>
        <v>psychologie sociale</v>
      </c>
    </row>
    <row r="221" customFormat="false" ht="13.5" hidden="false" customHeight="true" outlineLevel="0" collapsed="false">
      <c r="A221" s="1" t="str">
        <f aca="false">IF(listes!K220="","",listes!K220)</f>
        <v>MAT219</v>
      </c>
      <c r="B221" s="10" t="str">
        <f aca="false">IF(listes!L220="","",listes!L220)</f>
        <v>psychopathologie</v>
      </c>
    </row>
    <row r="222" customFormat="false" ht="13.5" hidden="false" customHeight="true" outlineLevel="0" collapsed="false">
      <c r="A222" s="1" t="str">
        <f aca="false">IF(listes!K221="","",listes!K221)</f>
        <v>MAT220</v>
      </c>
      <c r="B222" s="10" t="str">
        <f aca="false">IF(listes!L221="","",listes!L221)</f>
        <v>neurosciences</v>
      </c>
    </row>
    <row r="223" customFormat="false" ht="13.5" hidden="false" customHeight="true" outlineLevel="0" collapsed="false">
      <c r="A223" s="1" t="str">
        <f aca="false">IF(listes!K222="","",listes!K222)</f>
        <v>MAT221</v>
      </c>
      <c r="B223" s="10" t="str">
        <f aca="false">IF(listes!L222="","",listes!L222)</f>
        <v>sciences de l'éducation</v>
      </c>
    </row>
    <row r="224" customFormat="false" ht="13.5" hidden="false" customHeight="true" outlineLevel="0" collapsed="false">
      <c r="A224" s="1" t="str">
        <f aca="false">IF(listes!K223="","",listes!K223)</f>
        <v>MAT222</v>
      </c>
      <c r="B224" s="10" t="str">
        <f aca="false">IF(listes!L223="","",listes!L223)</f>
        <v>didactique</v>
      </c>
    </row>
    <row r="225" customFormat="false" ht="13.5" hidden="false" customHeight="true" outlineLevel="0" collapsed="false">
      <c r="A225" s="1" t="str">
        <f aca="false">IF(listes!K224="","",listes!K224)</f>
        <v>MAT223</v>
      </c>
      <c r="B225" s="10" t="str">
        <f aca="false">IF(listes!L224="","",listes!L224)</f>
        <v>entraînement sportif</v>
      </c>
    </row>
    <row r="226" customFormat="false" ht="13.5" hidden="false" customHeight="true" outlineLevel="0" collapsed="false">
      <c r="A226" s="1" t="str">
        <f aca="false">IF(listes!K225="","",listes!K225)</f>
        <v>MAT224</v>
      </c>
      <c r="B226" s="10" t="str">
        <f aca="false">IF(listes!L225="","",listes!L225)</f>
        <v>culture générale</v>
      </c>
    </row>
    <row r="227" customFormat="false" ht="13.5" hidden="false" customHeight="true" outlineLevel="0" collapsed="false">
      <c r="A227" s="1" t="str">
        <f aca="false">IF(listes!K226="","",listes!K226)</f>
        <v>MAT225</v>
      </c>
      <c r="B227" s="10" t="str">
        <f aca="false">IF(listes!L226="","",listes!L226)</f>
        <v>note de synthèse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2026-09-28T08:21:17Z</dcterms:created>
  <dc:creator>STEPHANE VEZAIN</dc:creator>
  <dc:description/>
  <dc:language>en-US</dc:language>
  <cp:lastModifiedBy>STEPHANE VEZAIN</cp:lastModifiedBy>
  <dcterms:modified xsi:type="dcterms:W3CDTF">2026-10-01T18:39:36Z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{918DD8A9-CA45-4982-91D4-7007FDAA6D79}</vt:lpwstr>
  </property>
  <property fmtid="{D5CDD505-2E9C-101B-9397-08002B2CF9AE}" pid="3" name="DLPManualFileClassificationLastModificationDate">
    <vt:lpwstr>1790588274</vt:lpwstr>
  </property>
  <property fmtid="{D5CDD505-2E9C-101B-9397-08002B2CF9AE}" pid="4" name="DLPManualFileClassificationLastModifiedBy">
    <vt:lpwstr>ADAMS\T0069992</vt:lpwstr>
  </property>
  <property fmtid="{D5CDD505-2E9C-101B-9397-08002B2CF9AE}" pid="5" name="DLPManualFileClassificationVersion">
    <vt:lpwstr>11.14.0.414</vt:lpwstr>
  </property>
</Properties>
</file>